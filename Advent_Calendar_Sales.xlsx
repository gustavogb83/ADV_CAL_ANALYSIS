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1 Cover" sheetId="3" state="visible" r:id="rId3"/>
    <sheet xmlns:r="http://schemas.openxmlformats.org/officeDocument/2006/relationships" name="2 Summary" sheetId="4" state="visible" r:id="rId4"/>
    <sheet xmlns:r="http://schemas.openxmlformats.org/officeDocument/2006/relationships" name="3 Launch timing" sheetId="5" state="visible" r:id="rId5"/>
    <sheet xmlns:r="http://schemas.openxmlformats.org/officeDocument/2006/relationships" name="4 Total" sheetId="6" state="visible" r:id="rId6"/>
    <sheet xmlns:r="http://schemas.openxmlformats.org/officeDocument/2006/relationships" name="5 By size" sheetId="7" state="visible" r:id="rId7"/>
    <sheet xmlns:r="http://schemas.openxmlformats.org/officeDocument/2006/relationships" name="Calc" sheetId="8" state="visible" r:id="rId8"/>
  </sheets>
  <definedNames>
    <definedName name="Yr_Cur">Control!$C$6</definedName>
    <definedName name="Yr_Prev">Control!$C$7</definedName>
    <definedName name="Sel_Market">Control!$C$8</definedName>
    <definedName name="Market_List">OFFSET(Control!$E$6,0,0,COUNTA(Control!$E$6:$E$45),1)</definedName>
    <definedName name="Market_Entry">OFFSET(Control!$E$7,0,0,MAX(1,COUNTA(Control!$E$7:$E$45)),1)</definedName>
    <definedName name="Dat_A">Data!$A$6:$A$505</definedName>
    <definedName name="Dat_B">Data!$B$6:$B$505</definedName>
    <definedName name="Dat_C">Data!$C$6:$C$505</definedName>
    <definedName name="Dat_D">Data!$D$6:$D$505</definedName>
    <definedName name="Dat_E">Data!$E$6:$E$505</definedName>
    <definedName name="Dat_F">Data!$F$6:$F$505</definedName>
    <definedName name="Dat_G">Data!$G$6:$G$505</definedName>
    <definedName name="Dat_H">Data!$H$6:$H$505</definedName>
    <definedName name="Dat_I">Data!$I$6:$I$505</definedName>
    <definedName name="Dat_J">Data!$J$6:$J$505</definedName>
    <definedName name="Dat_K">Data!$K$6:$K$505</definedName>
    <definedName name="Dat_L">Data!$L$6:$L$505</definedName>
    <definedName name="Dat_M">Data!$M$6:$M$505</definedName>
    <definedName name="Dat_N">Data!$N$6:$N$505</definedName>
    <definedName name="Dat_O">Data!$O$6:$O$505</definedName>
    <definedName name="Dat_P">Data!$P$6:$P$505</definedName>
    <definedName name="Dat_Q">Data!$Q$6:$Q$505</definedName>
    <definedName name="Dat_R">Data!$R$6:$R$505</definedName>
    <definedName name="Dat_S">Data!$S$6:$S$505</definedName>
    <definedName name="_xlnm.Print_Area" localSheetId="1">'Data'!$A$1:$S$60</definedName>
    <definedName name="_xlnm.Print_Area" localSheetId="2">'1 Cover'!$A$1:$BH$36</definedName>
    <definedName name="_xlnm.Print_Area" localSheetId="3">'2 Summary'!$A$1:$BH$36</definedName>
    <definedName name="_xlnm.Print_Area" localSheetId="4">'3 Launch timing'!$A$1:$BH$36</definedName>
    <definedName name="_xlnm.Print_Area" localSheetId="5">'4 Total'!$A$1:$BH$36</definedName>
    <definedName name="_xlnm.Print_Area" localSheetId="6">'5 By size'!$A$1:$BH$36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 mmm yyyy"/>
    <numFmt numFmtId="165" formatCode="#,##0.0"/>
    <numFmt numFmtId="166" formatCode="+0.0%;&quot;−&quot;0.0%;0.0%"/>
    <numFmt numFmtId="167" formatCode="0.0%"/>
    <numFmt numFmtId="168" formatCode="&quot;€&quot;#,##0"/>
    <numFmt numFmtId="169" formatCode="#,##0&quot; units&quot;"/>
    <numFmt numFmtId="170" formatCode="&quot;€&quot;#,##0.00"/>
  </numFmts>
  <fonts count="38">
    <font>
      <name val="Calibri"/>
      <family val="2"/>
      <color theme="1"/>
      <sz val="11"/>
      <scheme val="minor"/>
    </font>
    <font>
      <name val="Barlow Condensed"/>
      <b val="1"/>
      <color rgb="001D2D3D"/>
      <sz val="24"/>
    </font>
    <font>
      <name val="Barlow"/>
      <color rgb="00686969"/>
      <sz val="11"/>
    </font>
    <font>
      <name val="Barlow Condensed"/>
      <b val="1"/>
      <color rgb="00416180"/>
      <sz val="14"/>
    </font>
    <font>
      <name val="Barlow"/>
      <color rgb="001D1F20"/>
      <sz val="11"/>
    </font>
    <font>
      <name val="Barlow"/>
      <b val="1"/>
      <color rgb="001D2D3D"/>
      <sz val="12"/>
    </font>
    <font>
      <name val="Barlow"/>
      <color rgb="001D1F20"/>
      <sz val="12"/>
    </font>
    <font>
      <name val="Barlow"/>
      <b val="1"/>
      <color rgb="001D1F20"/>
      <sz val="11"/>
    </font>
    <font>
      <name val="Barlow"/>
      <i val="1"/>
      <color rgb="00686969"/>
      <sz val="9"/>
    </font>
    <font>
      <name val="Barlow"/>
      <b val="1"/>
      <color rgb="001D2D3D"/>
      <sz val="11"/>
    </font>
    <font>
      <name val="Barlow"/>
      <color rgb="001D1F20"/>
      <sz val="10"/>
    </font>
    <font>
      <name val="Barlow Condensed"/>
      <b val="1"/>
      <color rgb="001D2D3D"/>
      <sz val="22"/>
    </font>
    <font>
      <name val="Barlow"/>
      <color rgb="00686969"/>
      <sz val="10"/>
    </font>
    <font>
      <name val="Barlow"/>
      <b val="1"/>
      <color rgb="00FFFFFF"/>
      <sz val="10"/>
    </font>
    <font>
      <name val="Barlow"/>
      <color rgb="005D5D60"/>
      <sz val="10"/>
    </font>
    <font>
      <name val="Barlow Condensed"/>
      <b val="1"/>
      <color rgb="001D2D3D"/>
      <sz val="18"/>
    </font>
    <font>
      <name val="Barlow"/>
      <b val="1"/>
      <color rgb="001D1F20"/>
      <sz val="10"/>
    </font>
    <font>
      <name val="Barlow Condensed"/>
      <b val="1"/>
      <color rgb="00D6EBFF"/>
      <sz val="14"/>
    </font>
    <font>
      <name val="Barlow Condensed"/>
      <b val="1"/>
      <color rgb="00F2F2F3"/>
      <sz val="72"/>
    </font>
    <font>
      <name val="Barlow"/>
      <color rgb="00EEF6FF"/>
      <sz val="21"/>
    </font>
    <font>
      <name val="Barlow"/>
      <color rgb="00EEF6FF"/>
      <sz val="14"/>
    </font>
    <font>
      <name val="Barlow Condensed"/>
      <b val="1"/>
      <color rgb="00686969"/>
      <sz val="14"/>
    </font>
    <font>
      <name val="Barlow Condensed"/>
      <b val="1"/>
      <color rgb="001D1F20"/>
      <sz val="32"/>
    </font>
    <font>
      <name val="Barlow"/>
      <color rgb="007A7A7D"/>
      <sz val="9"/>
    </font>
    <font>
      <name val="Barlow Condensed"/>
      <b val="1"/>
      <color rgb="001D1F20"/>
      <sz val="20"/>
    </font>
    <font>
      <name val="Barlow Condensed"/>
      <b val="1"/>
      <color rgb="001D1F20"/>
      <sz val="44"/>
    </font>
    <font>
      <name val="Barlow Condensed"/>
      <b val="1"/>
      <color rgb="001D1F20"/>
      <sz val="30"/>
    </font>
    <font>
      <name val="Barlow"/>
      <b val="1"/>
      <color rgb="00416180"/>
      <sz val="12"/>
    </font>
    <font>
      <name val="Barlow Condensed"/>
      <b val="1"/>
      <color rgb="00F2F2F3"/>
      <sz val="18"/>
    </font>
    <font>
      <name val="Barlow"/>
      <color rgb="00F2F2F3"/>
      <sz val="12"/>
    </font>
    <font>
      <name val="Barlow"/>
      <color rgb="00686969"/>
      <sz val="12"/>
    </font>
    <font>
      <name val="Barlow"/>
      <color rgb="00416180"/>
      <sz val="14"/>
    </font>
    <font>
      <name val="Barlow Condensed"/>
      <b val="1"/>
      <color rgb="001D1F20"/>
      <sz val="40"/>
    </font>
    <font>
      <name val="Barlow"/>
      <color rgb="00686969"/>
      <sz val="14"/>
    </font>
    <font>
      <name val="Barlow Condensed"/>
      <b val="1"/>
      <color rgb="001D1F20"/>
      <sz val="42"/>
    </font>
    <font>
      <name val="Barlow Condensed"/>
      <b val="1"/>
      <color rgb="00416180"/>
      <sz val="20"/>
    </font>
    <font>
      <name val="Barlow"/>
      <color rgb="001D1F20"/>
      <sz val="16"/>
    </font>
    <font>
      <name val="Barlow"/>
      <b val="1"/>
      <color rgb="001D1F20"/>
      <sz val="16"/>
    </font>
  </fonts>
  <fills count="7">
    <fill>
      <patternFill/>
    </fill>
    <fill>
      <patternFill patternType="gray125"/>
    </fill>
    <fill>
      <patternFill patternType="solid">
        <fgColor rgb="00EEF6FF"/>
        <bgColor rgb="00EEF6FF"/>
      </patternFill>
    </fill>
    <fill>
      <patternFill patternType="solid">
        <fgColor rgb="001D2D3D"/>
        <bgColor rgb="001D2D3D"/>
      </patternFill>
    </fill>
    <fill>
      <patternFill patternType="solid">
        <fgColor rgb="007A7A7D"/>
        <bgColor rgb="007A7A7D"/>
      </patternFill>
    </fill>
    <fill>
      <patternFill patternType="solid">
        <fgColor rgb="00F0F0F1"/>
        <bgColor rgb="00F0F0F1"/>
      </patternFill>
    </fill>
    <fill>
      <patternFill patternType="solid">
        <fgColor rgb="00F2F2F3"/>
        <bgColor rgb="00F2F2F3"/>
      </patternFill>
    </fill>
  </fills>
  <borders count="15">
    <border>
      <left/>
      <right/>
      <top/>
      <bottom/>
      <diagonal/>
    </border>
    <border>
      <left style="thin">
        <color rgb="00416180"/>
      </left>
      <right style="thin">
        <color rgb="00416180"/>
      </right>
      <top style="thin">
        <color rgb="00416180"/>
      </top>
      <bottom style="thin">
        <color rgb="00416180"/>
      </bottom>
    </border>
    <border>
      <left style="thin">
        <color rgb="00D4D4D7"/>
      </left>
      <right style="thin">
        <color rgb="00D4D4D7"/>
      </right>
      <top style="thin">
        <color rgb="00D4D4D7"/>
      </top>
      <bottom style="thin">
        <color rgb="00D4D4D7"/>
      </bottom>
    </border>
    <border>
      <left/>
      <right/>
      <top style="thin">
        <color rgb="005D6874"/>
      </top>
      <bottom/>
    </border>
    <border>
      <left style="thin">
        <color rgb="00C3C3C5"/>
      </left>
      <right/>
      <top style="thin">
        <color rgb="00C3C3C5"/>
      </top>
      <bottom/>
    </border>
    <border>
      <left/>
      <right/>
      <top style="thin">
        <color rgb="00C3C3C5"/>
      </top>
      <bottom/>
    </border>
    <border>
      <left/>
      <right style="thin">
        <color rgb="00C3C3C5"/>
      </right>
      <top style="thin">
        <color rgb="00C3C3C5"/>
      </top>
      <bottom/>
    </border>
    <border>
      <left style="thin">
        <color rgb="00C3C3C5"/>
      </left>
      <right/>
      <top/>
      <bottom/>
    </border>
    <border>
      <left/>
      <right/>
      <top/>
      <bottom/>
    </border>
    <border>
      <left/>
      <right style="thin">
        <color rgb="00C3C3C5"/>
      </right>
      <top/>
      <bottom/>
    </border>
    <border>
      <left style="thin">
        <color rgb="00C3C3C5"/>
      </left>
      <right/>
      <top/>
      <bottom style="thin">
        <color rgb="00C3C3C5"/>
      </bottom>
    </border>
    <border>
      <left/>
      <right/>
      <top/>
      <bottom style="thin">
        <color rgb="00C3C3C5"/>
      </bottom>
    </border>
    <border>
      <left/>
      <right style="thin">
        <color rgb="00C3C3C5"/>
      </right>
      <top/>
      <bottom style="thin">
        <color rgb="00C3C3C5"/>
      </bottom>
    </border>
    <border>
      <left/>
      <right/>
      <top/>
      <bottom style="thin">
        <color rgb="00C3C3C5"/>
      </bottom>
      <diagonal/>
    </border>
    <border>
      <left/>
      <right/>
      <top/>
      <bottom style="thin">
        <color rgb="00E0E0E1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9" fillId="2" borderId="1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0" fillId="0" borderId="2" pivotButton="0" quotePrefix="0" xfId="0"/>
    <xf numFmtId="164" fontId="10" fillId="0" borderId="2" pivotButton="0" quotePrefix="0" xfId="0"/>
    <xf numFmtId="3" fontId="10" fillId="0" borderId="2" pivotButton="0" quotePrefix="0" xfId="0"/>
    <xf numFmtId="4" fontId="10" fillId="0" borderId="2" pivotButton="0" quotePrefix="0" xfId="0"/>
    <xf numFmtId="0" fontId="14" fillId="5" borderId="2" pivotButton="0" quotePrefix="0" xfId="0"/>
    <xf numFmtId="4" fontId="14" fillId="5" borderId="2" pivotButton="0" quotePrefix="0" xfId="0"/>
    <xf numFmtId="165" fontId="14" fillId="5" borderId="2" pivotButton="0" quotePrefix="0" xfId="0"/>
    <xf numFmtId="0" fontId="0" fillId="3" borderId="0" pivotButton="0" quotePrefix="0" xfId="0"/>
    <xf numFmtId="0" fontId="17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right" vertical="center"/>
    </xf>
    <xf numFmtId="0" fontId="18" fillId="3" borderId="0" applyAlignment="1" pivotButton="0" quotePrefix="0" xfId="0">
      <alignment horizontal="left" vertical="bottom" shrinkToFit="1"/>
    </xf>
    <xf numFmtId="0" fontId="19" fillId="3" borderId="0" applyAlignment="1" pivotButton="0" quotePrefix="0" xfId="0">
      <alignment horizontal="left" vertical="top"/>
    </xf>
    <xf numFmtId="0" fontId="20" fillId="3" borderId="3" applyAlignment="1" pivotButton="0" quotePrefix="0" xfId="0">
      <alignment horizontal="left" vertical="center"/>
    </xf>
    <xf numFmtId="0" fontId="0" fillId="0" borderId="3" pivotButton="0" quotePrefix="0" xfId="0"/>
    <xf numFmtId="0" fontId="0" fillId="6" borderId="0" pivotButton="0" quotePrefix="0" xfId="0"/>
    <xf numFmtId="0" fontId="3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top" wrapText="1"/>
    </xf>
    <xf numFmtId="0" fontId="23" fillId="6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left" vertical="bottom"/>
    </xf>
    <xf numFmtId="0" fontId="0" fillId="6" borderId="4" pivotButton="0" quotePrefix="0" xfId="0"/>
    <xf numFmtId="0" fontId="0" fillId="6" borderId="5" pivotButton="0" quotePrefix="0" xfId="0"/>
    <xf numFmtId="0" fontId="0" fillId="6" borderId="6" pivotButton="0" quotePrefix="0" xfId="0"/>
    <xf numFmtId="0" fontId="0" fillId="6" borderId="7" pivotButton="0" quotePrefix="0" xfId="0"/>
    <xf numFmtId="0" fontId="24" fillId="6" borderId="8" applyAlignment="1" pivotButton="0" quotePrefix="0" xfId="0">
      <alignment horizontal="left" vertical="center"/>
    </xf>
    <xf numFmtId="0" fontId="0" fillId="6" borderId="9" pivotButton="0" quotePrefix="0" xfId="0"/>
    <xf numFmtId="168" fontId="25" fillId="6" borderId="8" applyAlignment="1" pivotButton="0" quotePrefix="0" xfId="0">
      <alignment horizontal="left" vertical="center" shrinkToFit="1"/>
    </xf>
    <xf numFmtId="166" fontId="27" fillId="6" borderId="8" applyAlignment="1" pivotButton="0" quotePrefix="0" xfId="0">
      <alignment horizontal="left" vertical="center" shrinkToFit="1"/>
    </xf>
    <xf numFmtId="0" fontId="6" fillId="6" borderId="8" applyAlignment="1" pivotButton="0" quotePrefix="0" xfId="0">
      <alignment horizontal="left" vertical="center"/>
    </xf>
    <xf numFmtId="0" fontId="0" fillId="6" borderId="8" pivotButton="0" quotePrefix="0" xfId="0"/>
    <xf numFmtId="169" fontId="26" fillId="6" borderId="8" applyAlignment="1" pivotButton="0" quotePrefix="0" xfId="0">
      <alignment horizontal="left" vertical="center" shrinkToFit="1"/>
    </xf>
    <xf numFmtId="0" fontId="0" fillId="6" borderId="10" pivotButton="0" quotePrefix="0" xfId="0"/>
    <xf numFmtId="0" fontId="0" fillId="6" borderId="11" pivotButton="0" quotePrefix="0" xfId="0"/>
    <xf numFmtId="0" fontId="0" fillId="6" borderId="12" pivotButton="0" quotePrefix="0" xfId="0"/>
    <xf numFmtId="0" fontId="23" fillId="6" borderId="0" applyAlignment="1" pivotButton="0" quotePrefix="0" xfId="0">
      <alignment horizontal="right" vertical="top"/>
    </xf>
    <xf numFmtId="0" fontId="23" fillId="6" borderId="0" applyAlignment="1" pivotButton="0" quotePrefix="0" xfId="0">
      <alignment horizontal="left" vertical="top"/>
    </xf>
    <xf numFmtId="0" fontId="28" fillId="3" borderId="0" applyAlignment="1" pivotButton="0" quotePrefix="0" xfId="0">
      <alignment horizontal="left" vertical="center" shrinkToFit="1"/>
    </xf>
    <xf numFmtId="0" fontId="29" fillId="3" borderId="0" applyAlignment="1" pivotButton="0" quotePrefix="0" xfId="0">
      <alignment horizontal="left" vertical="center" wrapText="1"/>
    </xf>
    <xf numFmtId="0" fontId="30" fillId="6" borderId="11" applyAlignment="1" pivotButton="0" quotePrefix="0" xfId="0">
      <alignment horizontal="right" vertical="center"/>
    </xf>
    <xf numFmtId="0" fontId="0" fillId="0" borderId="13" pivotButton="0" quotePrefix="0" xfId="0"/>
    <xf numFmtId="0" fontId="31" fillId="6" borderId="0" applyAlignment="1" pivotButton="0" quotePrefix="0" xfId="0">
      <alignment horizontal="left" vertical="center"/>
    </xf>
    <xf numFmtId="0" fontId="32" fillId="6" borderId="0" applyAlignment="1" pivotButton="0" quotePrefix="0" xfId="0">
      <alignment horizontal="left" vertical="center" shrinkToFit="1"/>
    </xf>
    <xf numFmtId="0" fontId="33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33" fillId="6" borderId="8" applyAlignment="1" pivotButton="0" quotePrefix="0" xfId="0">
      <alignment horizontal="left" vertical="center"/>
    </xf>
    <xf numFmtId="0" fontId="31" fillId="6" borderId="8" applyAlignment="1" pivotButton="0" quotePrefix="0" xfId="0">
      <alignment horizontal="left" vertical="center"/>
    </xf>
    <xf numFmtId="168" fontId="34" fillId="6" borderId="8" applyAlignment="1" pivotButton="0" quotePrefix="0" xfId="0">
      <alignment horizontal="left" vertical="center" shrinkToFit="1"/>
    </xf>
    <xf numFmtId="3" fontId="34" fillId="6" borderId="8" applyAlignment="1" pivotButton="0" quotePrefix="0" xfId="0">
      <alignment horizontal="left" vertical="center" shrinkToFit="1"/>
    </xf>
    <xf numFmtId="166" fontId="35" fillId="6" borderId="8" applyAlignment="1" pivotButton="0" quotePrefix="0" xfId="0">
      <alignment horizontal="left" vertical="center" shrinkToFit="1"/>
    </xf>
    <xf numFmtId="0" fontId="30" fillId="6" borderId="8" applyAlignment="1" pivotButton="0" quotePrefix="0" xfId="0">
      <alignment horizontal="left" vertical="center" shrinkToFit="1"/>
    </xf>
    <xf numFmtId="0" fontId="2" fillId="6" borderId="8" applyAlignment="1" pivotButton="0" quotePrefix="0" xfId="0">
      <alignment horizontal="left" vertical="center" wrapText="1"/>
    </xf>
    <xf numFmtId="0" fontId="2" fillId="6" borderId="8" applyAlignment="1" pivotButton="0" quotePrefix="0" xfId="0">
      <alignment horizontal="right" vertical="center" wrapText="1"/>
    </xf>
    <xf numFmtId="0" fontId="0" fillId="0" borderId="11" pivotButton="0" quotePrefix="0" xfId="0"/>
    <xf numFmtId="3" fontId="36" fillId="6" borderId="8" applyAlignment="1" pivotButton="0" quotePrefix="0" xfId="0">
      <alignment horizontal="right" vertical="center" shrinkToFit="1"/>
    </xf>
    <xf numFmtId="166" fontId="36" fillId="6" borderId="8" applyAlignment="1" pivotButton="0" quotePrefix="0" xfId="0">
      <alignment horizontal="right" vertical="center" shrinkToFit="1"/>
    </xf>
    <xf numFmtId="168" fontId="36" fillId="6" borderId="8" applyAlignment="1" pivotButton="0" quotePrefix="0" xfId="0">
      <alignment horizontal="right" vertical="center" shrinkToFit="1"/>
    </xf>
    <xf numFmtId="170" fontId="36" fillId="6" borderId="8" applyAlignment="1" pivotButton="0" quotePrefix="0" xfId="0">
      <alignment horizontal="right" vertical="center" shrinkToFit="1"/>
    </xf>
    <xf numFmtId="0" fontId="0" fillId="0" borderId="14" pivotButton="0" quotePrefix="0" xfId="0"/>
    <xf numFmtId="3" fontId="37" fillId="6" borderId="8" applyAlignment="1" pivotButton="0" quotePrefix="0" xfId="0">
      <alignment horizontal="right" vertical="center" shrinkToFit="1"/>
    </xf>
    <xf numFmtId="166" fontId="37" fillId="6" borderId="8" applyAlignment="1" pivotButton="0" quotePrefix="0" xfId="0">
      <alignment horizontal="right" vertical="center" shrinkToFit="1"/>
    </xf>
    <xf numFmtId="168" fontId="37" fillId="6" borderId="8" applyAlignment="1" pivotButton="0" quotePrefix="0" xfId="0">
      <alignment horizontal="right" vertical="center" shrinkToFit="1"/>
    </xf>
    <xf numFmtId="170" fontId="37" fillId="6" borderId="8" applyAlignment="1" pivotButton="0" quotePrefix="0" xfId="0">
      <alignment horizontal="right" vertical="center" shrinkToFit="1"/>
    </xf>
    <xf numFmtId="0" fontId="15" fillId="0" borderId="0" pivotButton="0" quotePrefix="0" xfId="0"/>
    <xf numFmtId="0" fontId="13" fillId="3" borderId="0" applyAlignment="1" pivotButton="0" quotePrefix="0" xfId="0">
      <alignment horizontal="center" wrapText="1"/>
    </xf>
    <xf numFmtId="0" fontId="10" fillId="0" borderId="0" pivotButton="0" quotePrefix="0" xfId="0"/>
    <xf numFmtId="165" fontId="10" fillId="0" borderId="0" pivotButton="0" quotePrefix="0" xfId="0"/>
    <xf numFmtId="3" fontId="10" fillId="0" borderId="0" pivotButton="0" quotePrefix="0" xfId="0"/>
    <xf numFmtId="166" fontId="10" fillId="0" borderId="0" pivotButton="0" quotePrefix="0" xfId="0"/>
    <xf numFmtId="4" fontId="10" fillId="0" borderId="0" pivotButton="0" quotePrefix="0" xfId="0"/>
    <xf numFmtId="0" fontId="16" fillId="0" borderId="0" pivotButton="0" quotePrefix="0" xfId="0"/>
    <xf numFmtId="165" fontId="16" fillId="0" borderId="0" pivotButton="0" quotePrefix="0" xfId="0"/>
    <xf numFmtId="3" fontId="16" fillId="0" borderId="0" pivotButton="0" quotePrefix="0" xfId="0"/>
    <xf numFmtId="166" fontId="16" fillId="0" borderId="0" pivotButton="0" quotePrefix="0" xfId="0"/>
    <xf numFmtId="4" fontId="16" fillId="0" borderId="0" pivotButton="0" quotePrefix="0" xfId="0"/>
    <xf numFmtId="0" fontId="13" fillId="3" borderId="0" pivotButton="0" quotePrefix="0" xfId="0"/>
    <xf numFmtId="164" fontId="10" fillId="0" borderId="0" applyAlignment="1" pivotButton="0" quotePrefix="0" xfId="0">
      <alignment/>
    </xf>
    <xf numFmtId="0" fontId="10" fillId="0" borderId="0" applyAlignment="1" pivotButton="0" quotePrefix="0" xfId="0">
      <alignment/>
    </xf>
    <xf numFmtId="3" fontId="10" fillId="0" borderId="0" applyAlignment="1" pivotButton="0" quotePrefix="0" xfId="0">
      <alignment/>
    </xf>
    <xf numFmtId="167" fontId="10" fillId="0" borderId="0" applyAlignment="1" pivotButton="0" quotePrefix="0" xfId="0">
      <alignment/>
    </xf>
  </cellXfs>
  <cellStyles count="1">
    <cellStyle name="Normal" xfId="0" builtinId="0" hidden="0"/>
  </cellStyles>
  <dxfs count="4">
    <dxf>
      <font>
        <b val="1"/>
        <color rgb="00B00020"/>
      </font>
    </dxf>
    <dxf>
      <font>
        <color rgb="002E7D32"/>
      </font>
    </dxf>
    <dxf>
      <font>
        <b val="1"/>
        <color rgb="00416180"/>
      </font>
    </dxf>
    <dxf>
      <font>
        <color rgb="0098989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barChart>
        <barDir val="bar"/>
        <grouping val="stacked"/>
        <ser>
          <idx val="0"/>
          <order val="0"/>
          <tx>
            <strRef>
              <f>'Calc'!B75</f>
            </strRef>
          </tx>
          <spPr>
            <a:solidFill xmlns:a="http://schemas.openxmlformats.org/drawingml/2006/main">
              <a:srgbClr val="1D2D3D"/>
            </a:solidFill>
            <a:ln xmlns:a="http://schemas.openxmlformats.org/drawingml/2006/main">
              <a:noFill/>
              <a:prstDash val="solid"/>
            </a:ln>
          </spPr>
          <dPt>
            <idx val="1"/>
            <spPr>
              <a:noFill xmlns:a="http://schemas.openxmlformats.org/drawingml/2006/main"/>
              <a:ln xmlns:a="http://schemas.openxmlformats.org/drawingml/2006/main" w="12700">
                <a:solidFill>
                  <a:srgbClr val="416180"/>
                </a:solidFill>
                <a:prstDash val="dash"/>
              </a:ln>
            </spPr>
          </dPt>
          <dLbls>
            <dLbl>
              <idx val="1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  <a:latin typeface="Barlow"/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  <a:latin typeface="Barlow"/>
                </a:endParaRPr>
              </a:p>
            </txPr>
            <dLblPos val="ctr"/>
            <showLegendKey val="0"/>
            <showVal val="0"/>
            <showCatName val="0"/>
            <showSerName val="1"/>
            <showPercent val="0"/>
          </dLbls>
          <cat>
            <numRef>
              <f>'Calc'!$A$76:$A$77</f>
            </numRef>
          </cat>
          <val>
            <numRef>
              <f>'Calc'!$B$76:$B$77</f>
            </numRef>
          </val>
        </ser>
        <ser>
          <idx val="1"/>
          <order val="1"/>
          <tx>
            <strRef>
              <f>'Calc'!C75</f>
            </strRef>
          </tx>
          <spPr>
            <a:solidFill xmlns:a="http://schemas.openxmlformats.org/drawingml/2006/main">
              <a:srgbClr val="D6EBFF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'Calc'!$A$76:$A$77</f>
            </numRef>
          </cat>
          <val>
            <numRef>
              <f>'Calc'!$C$76:$C$77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D1F20"/>
                </a:solidFill>
                <a:latin typeface="Barlow Condensed"/>
              </a:defRPr>
            </a:pPr>
            <a:r>
              <a:t/>
            </a:r>
            <a:endParaRPr sz="1200" b="1">
              <a:solidFill>
                <a:srgbClr val="1D1F20"/>
              </a:solidFill>
              <a:latin typeface="Barlow Condensed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1"/>
        <axPos val="l"/>
        <majorTickMark val="none"/>
        <minorTickMark val="none"/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twoCell">
    <from>
      <col>5</col>
      <colOff>0</colOff>
      <row>11</row>
      <rowOff>0</rowOff>
    </from>
    <to>
      <col>55</col>
      <colOff>0</colOff>
      <row>21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16180"/>
    <outlinePr summaryBelow="1" summaryRight="1"/>
    <pageSetUpPr/>
  </sheetPr>
  <dimension ref="B2:G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4" customWidth="1" min="4" max="4"/>
    <col width="26" customWidth="1" min="5" max="5"/>
    <col width="4" customWidth="1" min="6" max="6"/>
    <col width="70" customWidth="1" min="7" max="7"/>
    <col width="4" customWidth="1" min="8" max="8"/>
  </cols>
  <sheetData>
    <row r="2">
      <c r="B2" s="1" t="inlineStr">
        <is>
          <t>Advent Calendar Sales — control panel</t>
        </is>
      </c>
    </row>
    <row r="3">
      <c r="B3" s="2" t="inlineStr">
        <is>
          <t>Change the yellow-blue input cells; every slide sheet updates automatically.</t>
        </is>
      </c>
    </row>
    <row r="4">
      <c r="E4" s="3" t="inlineStr">
        <is>
          <t>Type your markets here (one per row)</t>
        </is>
      </c>
    </row>
    <row r="5">
      <c r="B5" s="4" t="inlineStr">
        <is>
          <t>SETTINGS</t>
        </is>
      </c>
      <c r="E5" s="4" t="inlineStr">
        <is>
          <t>MARKETS</t>
        </is>
      </c>
      <c r="G5" s="4" t="inlineStr">
        <is>
          <t>HOW TO UPDATE</t>
        </is>
      </c>
    </row>
    <row r="6" ht="42" customHeight="1">
      <c r="B6" s="5" t="inlineStr">
        <is>
          <t>Current year</t>
        </is>
      </c>
      <c r="C6" s="6" t="n">
        <v>2026</v>
      </c>
      <c r="E6" s="2" t="inlineStr">
        <is>
          <t>All markets</t>
        </is>
      </c>
      <c r="G6" s="7" t="inlineStr">
        <is>
          <t>1.  Go to the Data sheet. For each market × product × year add one row (or overwrite the numbers on an existing row).</t>
        </is>
      </c>
    </row>
    <row r="7" ht="42" customHeight="1">
      <c r="B7" s="5" t="inlineStr">
        <is>
          <t>Comparison year</t>
        </is>
      </c>
      <c r="C7" s="8">
        <f>C6-1</f>
        <v/>
      </c>
      <c r="E7" s="9" t="inlineStr">
        <is>
          <t>Market A</t>
        </is>
      </c>
      <c r="G7" s="7" t="inlineStr">
        <is>
          <t>2.  Fill Launch date (blank row = product not sold in that market that year), Data through (the cut-off date of the numbers), Units and Revenue (€, cumulative from launch to the cut-off).</t>
        </is>
      </c>
    </row>
    <row r="8" ht="28" customHeight="1">
      <c r="B8" s="5" t="inlineStr">
        <is>
          <t>Market</t>
        </is>
      </c>
      <c r="C8" s="6" t="inlineStr">
        <is>
          <t>All markets</t>
        </is>
      </c>
      <c r="E8" s="9" t="n"/>
      <c r="G8" s="7" t="inlineStr">
        <is>
          <t>3.  Enter the comparison-year numbers to the same calendar date (e.g. 9 Oct 2025 next to 9 Oct 2026).</t>
        </is>
      </c>
    </row>
    <row r="9" ht="28" customHeight="1">
      <c r="E9" s="9" t="n"/>
      <c r="G9" s="7" t="inlineStr">
        <is>
          <t>4.  New market? Add its name in the MARKETS list (left), then pick it in Data column A.</t>
        </is>
      </c>
    </row>
    <row r="10" ht="42" customHeight="1">
      <c r="B10" s="4" t="inlineStr">
        <is>
          <t>PRODUCTS IN SCOPE</t>
        </is>
      </c>
      <c r="E10" s="9" t="n"/>
      <c r="G10" s="7" t="inlineStr">
        <is>
          <t>5.  Pick the Market and the products in scope on this sheet. 'All markets' adds up only markets/products that have rows for BOTH years.</t>
        </is>
      </c>
    </row>
    <row r="11" ht="42" customHeight="1">
      <c r="B11" s="10" t="inlineStr">
        <is>
          <t>24-day</t>
        </is>
      </c>
      <c r="C11" s="6" t="inlineStr">
        <is>
          <t>Yes</t>
        </is>
      </c>
      <c r="E11" s="9" t="n"/>
      <c r="G11" s="7" t="inlineStr">
        <is>
          <t>6.  Look at the sheets 1 Cover … 5 By size. Check the 'Data check' status above; fix any row flagged in Data column S.</t>
        </is>
      </c>
    </row>
    <row r="12" ht="42" customHeight="1">
      <c r="B12" s="10" t="inlineStr">
        <is>
          <t>12-day</t>
        </is>
      </c>
      <c r="C12" s="6" t="inlineStr">
        <is>
          <t>Yes</t>
        </is>
      </c>
      <c r="E12" s="9" t="n"/>
      <c r="G12" s="7" t="inlineStr">
        <is>
          <t>NOTE:  Equal-days estimate = comparison-year × (days selling this year ÷ days selling last year), done market by market, assuming an even daily rate. Head-start value = comparison-year × (extra days ÷ days selling last year).</t>
        </is>
      </c>
    </row>
    <row r="13" ht="42" customHeight="1">
      <c r="B13" s="10" t="inlineStr">
        <is>
          <t>Refill</t>
        </is>
      </c>
      <c r="C13" s="6" t="inlineStr">
        <is>
          <t>No</t>
        </is>
      </c>
      <c r="E13" s="9" t="n"/>
      <c r="G13" s="7" t="inlineStr">
        <is>
          <t>NOTE:  Fonts: install 'Barlow' and 'Barlow Condensed' (free, Google Fonts) for the intended look; otherwise Excel substitutes.</t>
        </is>
      </c>
    </row>
    <row r="14" ht="28" customHeight="1">
      <c r="B14" s="3" t="inlineStr">
        <is>
          <t>(product names are fixed — do not rename)</t>
        </is>
      </c>
      <c r="E14" s="9" t="n"/>
      <c r="G14" s="7" t="inlineStr">
        <is>
          <t>NOTE:  Needs Excel 2019 / Microsoft 365 (uses MAXIFS / MINIFS).</t>
        </is>
      </c>
    </row>
    <row r="15">
      <c r="E15" s="9" t="n"/>
    </row>
    <row r="16">
      <c r="B16" s="4" t="inlineStr">
        <is>
          <t>STATUS</t>
        </is>
      </c>
      <c r="E16" s="9" t="n"/>
    </row>
    <row r="17">
      <c r="B17" s="5" t="inlineStr">
        <is>
          <t>Data check</t>
        </is>
      </c>
      <c r="C17" s="11">
        <f>IF(COUNTIF(Dat_S,"?*")-COUNTIF(Dat_S,"OK")=0,"All rows OK",(COUNTIF(Dat_S,"?*")-COUNTIF(Dat_S,"OK"))&amp;" row(s) need attention (Data col S)")</f>
        <v/>
      </c>
      <c r="E17" s="9" t="n"/>
    </row>
    <row r="18">
      <c r="B18" s="5" t="inlineStr">
        <is>
          <t>Report date (latest cut-off)</t>
        </is>
      </c>
      <c r="C18" s="12">
        <f>IF(COUNTIFS(Dat_J,"CY",Dat_L,1)=0,"no data",_xlfn.MAXIFS(Dat_E,Dat_J,"CY",Dat_L,1))</f>
        <v/>
      </c>
      <c r="E18" s="9" t="n"/>
    </row>
    <row r="19">
      <c r="B19" s="5" t="inlineStr">
        <is>
          <t>Rows used in comparison</t>
        </is>
      </c>
      <c r="C19" s="11">
        <f>COUNTIF(Dat_L,1)</f>
        <v/>
      </c>
      <c r="E19" s="9" t="n"/>
    </row>
    <row r="20">
      <c r="E20" s="9" t="n"/>
    </row>
    <row r="21">
      <c r="E21" s="9" t="n"/>
    </row>
    <row r="22">
      <c r="E22" s="9" t="n"/>
    </row>
    <row r="23">
      <c r="E23" s="9" t="n"/>
    </row>
    <row r="24">
      <c r="E24" s="9" t="n"/>
    </row>
    <row r="25">
      <c r="E25" s="9" t="n"/>
    </row>
    <row r="26">
      <c r="E26" s="9" t="n"/>
    </row>
    <row r="27">
      <c r="E27" s="9" t="n"/>
    </row>
    <row r="28">
      <c r="E28" s="9" t="n"/>
    </row>
    <row r="29">
      <c r="E29" s="9" t="n"/>
    </row>
    <row r="30">
      <c r="E30" s="9" t="n"/>
    </row>
    <row r="31">
      <c r="E31" s="9" t="n"/>
    </row>
    <row r="32">
      <c r="E32" s="9" t="n"/>
    </row>
    <row r="33">
      <c r="E33" s="9" t="n"/>
    </row>
    <row r="34">
      <c r="E34" s="9" t="n"/>
    </row>
    <row r="35">
      <c r="E35" s="9" t="n"/>
    </row>
    <row r="36">
      <c r="E36" s="9" t="n"/>
    </row>
    <row r="37">
      <c r="E37" s="9" t="n"/>
    </row>
    <row r="38">
      <c r="E38" s="9" t="n"/>
    </row>
    <row r="39">
      <c r="E39" s="9" t="n"/>
    </row>
    <row r="40">
      <c r="E40" s="9" t="n"/>
    </row>
    <row r="41">
      <c r="E41" s="9" t="n"/>
    </row>
    <row r="42">
      <c r="E42" s="9" t="n"/>
    </row>
    <row r="43">
      <c r="E43" s="9" t="n"/>
    </row>
    <row r="44">
      <c r="E44" s="9" t="n"/>
    </row>
    <row r="45">
      <c r="E45" s="9" t="n"/>
    </row>
  </sheetData>
  <conditionalFormatting sqref="C17">
    <cfRule type="expression" priority="1" dxfId="0">
      <formula>$C$17&lt;&gt;"All rows OK"</formula>
    </cfRule>
  </conditionalFormatting>
  <dataValidations count="3">
    <dataValidation sqref="C8" showDropDown="0" showInputMessage="0" showErrorMessage="0" allowBlank="0" type="list">
      <formula1>=Market_List</formula1>
    </dataValidation>
    <dataValidation sqref="C11:C13" showDropDown="0" showInputMessage="0" showErrorMessage="0" allowBlank="0" type="list">
      <formula1>"Yes,No"</formula1>
    </dataValidation>
    <dataValidation sqref="C6" showDropDown="0" showInputMessage="0" showErrorMessage="0" allowBlank="0" type="whole" operator="between">
      <formula1>2000</formula1>
      <formula2>2100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2D3D"/>
    <outlinePr summaryBelow="1" summaryRight="1"/>
    <pageSetUpPr/>
  </sheetPr>
  <dimension ref="A1:S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13" customWidth="1" min="4" max="4"/>
    <col width="13" customWidth="1" min="5" max="5"/>
    <col width="10" customWidth="1" min="6" max="6"/>
    <col width="13" customWidth="1" min="7" max="7"/>
    <col width="10" customWidth="1" min="8" max="8"/>
    <col width="11" customWidth="1" min="9" max="9"/>
    <col hidden="1" outlineLevel="1" width="7" customWidth="1" min="10" max="18"/>
    <col width="38" customWidth="1" min="19" max="19"/>
  </cols>
  <sheetData>
    <row r="1">
      <c r="A1" s="13" t="inlineStr">
        <is>
          <t>Sales data — one row per market × product × year</t>
        </is>
      </c>
    </row>
    <row r="2">
      <c r="A2" s="14" t="inlineStr">
        <is>
          <t>Blue columns = you type. Grey columns = calculated. Numbers are cumulative from launch to 'Data through'. Leave a product out (or the launch date blank) if it was not on sale in that market that year. Rows 6–505 are ready to use.</t>
        </is>
      </c>
    </row>
    <row r="3">
      <c r="A3" s="14" t="inlineStr">
        <is>
          <t>Years other than Current/Comparison year are kept as history and ignored.</t>
        </is>
      </c>
    </row>
    <row r="5" ht="32" customHeight="1">
      <c r="A5" s="15" t="inlineStr">
        <is>
          <t>Market</t>
        </is>
      </c>
      <c r="B5" s="15" t="inlineStr">
        <is>
          <t>Product</t>
        </is>
      </c>
      <c r="C5" s="15" t="inlineStr">
        <is>
          <t>Year</t>
        </is>
      </c>
      <c r="D5" s="15" t="inlineStr">
        <is>
          <t>Launch date</t>
        </is>
      </c>
      <c r="E5" s="15" t="inlineStr">
        <is>
          <t>Data through</t>
        </is>
      </c>
      <c r="F5" s="15" t="inlineStr">
        <is>
          <t>Units</t>
        </is>
      </c>
      <c r="G5" s="15" t="inlineStr">
        <is>
          <t>Revenue (€)</t>
        </is>
      </c>
      <c r="H5" s="16" t="inlineStr">
        <is>
          <t>Selling days</t>
        </is>
      </c>
      <c r="I5" s="16" t="inlineStr">
        <is>
          <t>Avg price (€)</t>
        </is>
      </c>
      <c r="J5" s="16" t="inlineStr">
        <is>
          <t>Role</t>
        </is>
      </c>
      <c r="K5" s="16" t="inlineStr">
        <is>
          <t>Days other yr</t>
        </is>
      </c>
      <c r="L5" s="16" t="inlineStr">
        <is>
          <t>In comparison</t>
        </is>
      </c>
      <c r="M5" s="16" t="inlineStr">
        <is>
          <t>Days CY</t>
        </is>
      </c>
      <c r="N5" s="16" t="inlineStr">
        <is>
          <t>Days PY</t>
        </is>
      </c>
      <c r="O5" s="16" t="inlineStr">
        <is>
          <t>Units eq-days</t>
        </is>
      </c>
      <c r="P5" s="16" t="inlineStr">
        <is>
          <t>Rev eq-days</t>
        </is>
      </c>
      <c r="Q5" s="16" t="inlineStr">
        <is>
          <t>Head-start units</t>
        </is>
      </c>
      <c r="R5" s="16" t="inlineStr">
        <is>
          <t>Head-start rev</t>
        </is>
      </c>
      <c r="S5" s="16" t="inlineStr">
        <is>
          <t>Row check</t>
        </is>
      </c>
    </row>
    <row r="6">
      <c r="A6" s="17" t="inlineStr">
        <is>
          <t>Market A</t>
        </is>
      </c>
      <c r="B6" s="17" t="inlineStr">
        <is>
          <t>24-day</t>
        </is>
      </c>
      <c r="C6" s="17" t="n">
        <v>2025</v>
      </c>
      <c r="D6" s="18" t="n">
        <v>45906</v>
      </c>
      <c r="E6" s="18" t="n">
        <v>45939</v>
      </c>
      <c r="F6" s="19" t="n">
        <v>711</v>
      </c>
      <c r="G6" s="20" t="n">
        <v>76876</v>
      </c>
      <c r="H6" s="21">
        <f>IF(AND(ISNUMBER(D6),ISNUMBER(E6)),E6-D6+1,"")</f>
        <v/>
      </c>
      <c r="I6" s="22">
        <f>IF(AND(ISNUMBER(F6),N(F6)&gt;0,ISNUMBER(G6)),G6/F6,"")</f>
        <v/>
      </c>
      <c r="J6" s="21">
        <f>IF(OR(A6="",B6=""),"",IF(C6=Yr_Cur,"CY",IF(C6=Yr_Prev,"PY","")))</f>
        <v/>
      </c>
      <c r="K6" s="21">
        <f>IF(J6="","",IF(J6="CY",SUMIFS(Dat_H,Dat_A,A6,Dat_B,B6,Dat_C,Yr_Prev),SUMIFS(Dat_H,Dat_A,A6,Dat_B,B6,Dat_C,Yr_Cur)))</f>
        <v/>
      </c>
      <c r="L6" s="21">
        <f>IF(J6="",0,IF(AND(ISNUMBER(H6),N(K6)&gt;0,ISNUMBER(F6),ISNUMBER(G6),OR(Sel_Market="All markets",A6=Sel_Market),COUNTIFS(Control!$B$11:$B$13,B6,Control!$C$11:$C$13,"Yes")&gt;0),1,0))</f>
        <v/>
      </c>
      <c r="M6" s="21">
        <f>IF(L6=1,IF(J6="CY",H6,K6),"")</f>
        <v/>
      </c>
      <c r="N6" s="21">
        <f>IF(L6=1,IF(J6="PY",H6,K6),"")</f>
        <v/>
      </c>
      <c r="O6" s="23">
        <f>IF(L6=1,IF(J6="PY",F6*M6/N6,F6),0)</f>
        <v/>
      </c>
      <c r="P6" s="23">
        <f>IF(L6=1,IF(J6="PY",G6*M6/N6,G6),0)</f>
        <v/>
      </c>
      <c r="Q6" s="23">
        <f>IF(AND(L6=1,J6="PY"),F6*(N6-M6)/N6,0)</f>
        <v/>
      </c>
      <c r="R6" s="23">
        <f>IF(AND(L6=1,J6="PY"),G6*(N6-M6)/N6,0)</f>
        <v/>
      </c>
      <c r="S6" s="21">
        <f>IF(COUNTA(A6:G6)=0,"",IF(OR(A6="",B6="",NOT(ISNUMBER(C6))),"Fill market, product and year",IF(COUNTIF(Control!$B$11:$B$13,B6)=0,"Unknown product",IF(COUNTIFS(Dat_A,A6,Dat_B,B6,Dat_C,C6)&gt;1,"Duplicate market/product/year",IF(OR(NOT(ISNUMBER(D6)),NOT(ISNUMBER(E6))),"Add launch date and Data through date",IF(E6&lt;D6,"Data through is before launch",IF(OR(NOT(ISNUMBER(F6)),NOT(ISNUMBER(G6))),"Add units and revenue","OK")))))))</f>
        <v/>
      </c>
    </row>
    <row r="7">
      <c r="A7" s="17" t="inlineStr">
        <is>
          <t>Market A</t>
        </is>
      </c>
      <c r="B7" s="17" t="inlineStr">
        <is>
          <t>12-day</t>
        </is>
      </c>
      <c r="C7" s="17" t="n">
        <v>2025</v>
      </c>
      <c r="D7" s="18" t="n">
        <v>45906</v>
      </c>
      <c r="E7" s="18" t="n">
        <v>45939</v>
      </c>
      <c r="F7" s="19" t="n">
        <v>52</v>
      </c>
      <c r="G7" s="20" t="n">
        <v>3572</v>
      </c>
      <c r="H7" s="21">
        <f>IF(AND(ISNUMBER(D7),ISNUMBER(E7)),E7-D7+1,"")</f>
        <v/>
      </c>
      <c r="I7" s="22">
        <f>IF(AND(ISNUMBER(F7),N(F7)&gt;0,ISNUMBER(G7)),G7/F7,"")</f>
        <v/>
      </c>
      <c r="J7" s="21">
        <f>IF(OR(A7="",B7=""),"",IF(C7=Yr_Cur,"CY",IF(C7=Yr_Prev,"PY","")))</f>
        <v/>
      </c>
      <c r="K7" s="21">
        <f>IF(J7="","",IF(J7="CY",SUMIFS(Dat_H,Dat_A,A7,Dat_B,B7,Dat_C,Yr_Prev),SUMIFS(Dat_H,Dat_A,A7,Dat_B,B7,Dat_C,Yr_Cur)))</f>
        <v/>
      </c>
      <c r="L7" s="21">
        <f>IF(J7="",0,IF(AND(ISNUMBER(H7),N(K7)&gt;0,ISNUMBER(F7),ISNUMBER(G7),OR(Sel_Market="All markets",A7=Sel_Market),COUNTIFS(Control!$B$11:$B$13,B7,Control!$C$11:$C$13,"Yes")&gt;0),1,0))</f>
        <v/>
      </c>
      <c r="M7" s="21">
        <f>IF(L7=1,IF(J7="CY",H7,K7),"")</f>
        <v/>
      </c>
      <c r="N7" s="21">
        <f>IF(L7=1,IF(J7="PY",H7,K7),"")</f>
        <v/>
      </c>
      <c r="O7" s="23">
        <f>IF(L7=1,IF(J7="PY",F7*M7/N7,F7),0)</f>
        <v/>
      </c>
      <c r="P7" s="23">
        <f>IF(L7=1,IF(J7="PY",G7*M7/N7,G7),0)</f>
        <v/>
      </c>
      <c r="Q7" s="23">
        <f>IF(AND(L7=1,J7="PY"),F7*(N7-M7)/N7,0)</f>
        <v/>
      </c>
      <c r="R7" s="23">
        <f>IF(AND(L7=1,J7="PY"),G7*(N7-M7)/N7,0)</f>
        <v/>
      </c>
      <c r="S7" s="21">
        <f>IF(COUNTA(A7:G7)=0,"",IF(OR(A7="",B7="",NOT(ISNUMBER(C7))),"Fill market, product and year",IF(COUNTIF(Control!$B$11:$B$13,B7)=0,"Unknown product",IF(COUNTIFS(Dat_A,A7,Dat_B,B7,Dat_C,C7)&gt;1,"Duplicate market/product/year",IF(OR(NOT(ISNUMBER(D7)),NOT(ISNUMBER(E7))),"Add launch date and Data through date",IF(E7&lt;D7,"Data through is before launch",IF(OR(NOT(ISNUMBER(F7)),NOT(ISNUMBER(G7))),"Add units and revenue","OK")))))))</f>
        <v/>
      </c>
    </row>
    <row r="8">
      <c r="A8" s="17" t="inlineStr">
        <is>
          <t>Market A</t>
        </is>
      </c>
      <c r="B8" s="17" t="inlineStr">
        <is>
          <t>24-day</t>
        </is>
      </c>
      <c r="C8" s="17" t="n">
        <v>2026</v>
      </c>
      <c r="D8" s="18" t="n">
        <v>46276</v>
      </c>
      <c r="E8" s="18" t="n">
        <v>46304</v>
      </c>
      <c r="F8" s="19" t="n">
        <v>398</v>
      </c>
      <c r="G8" s="20" t="n">
        <v>53563</v>
      </c>
      <c r="H8" s="21">
        <f>IF(AND(ISNUMBER(D8),ISNUMBER(E8)),E8-D8+1,"")</f>
        <v/>
      </c>
      <c r="I8" s="22">
        <f>IF(AND(ISNUMBER(F8),N(F8)&gt;0,ISNUMBER(G8)),G8/F8,"")</f>
        <v/>
      </c>
      <c r="J8" s="21">
        <f>IF(OR(A8="",B8=""),"",IF(C8=Yr_Cur,"CY",IF(C8=Yr_Prev,"PY","")))</f>
        <v/>
      </c>
      <c r="K8" s="21">
        <f>IF(J8="","",IF(J8="CY",SUMIFS(Dat_H,Dat_A,A8,Dat_B,B8,Dat_C,Yr_Prev),SUMIFS(Dat_H,Dat_A,A8,Dat_B,B8,Dat_C,Yr_Cur)))</f>
        <v/>
      </c>
      <c r="L8" s="21">
        <f>IF(J8="",0,IF(AND(ISNUMBER(H8),N(K8)&gt;0,ISNUMBER(F8),ISNUMBER(G8),OR(Sel_Market="All markets",A8=Sel_Market),COUNTIFS(Control!$B$11:$B$13,B8,Control!$C$11:$C$13,"Yes")&gt;0),1,0))</f>
        <v/>
      </c>
      <c r="M8" s="21">
        <f>IF(L8=1,IF(J8="CY",H8,K8),"")</f>
        <v/>
      </c>
      <c r="N8" s="21">
        <f>IF(L8=1,IF(J8="PY",H8,K8),"")</f>
        <v/>
      </c>
      <c r="O8" s="23">
        <f>IF(L8=1,IF(J8="PY",F8*M8/N8,F8),0)</f>
        <v/>
      </c>
      <c r="P8" s="23">
        <f>IF(L8=1,IF(J8="PY",G8*M8/N8,G8),0)</f>
        <v/>
      </c>
      <c r="Q8" s="23">
        <f>IF(AND(L8=1,J8="PY"),F8*(N8-M8)/N8,0)</f>
        <v/>
      </c>
      <c r="R8" s="23">
        <f>IF(AND(L8=1,J8="PY"),G8*(N8-M8)/N8,0)</f>
        <v/>
      </c>
      <c r="S8" s="21">
        <f>IF(COUNTA(A8:G8)=0,"",IF(OR(A8="",B8="",NOT(ISNUMBER(C8))),"Fill market, product and year",IF(COUNTIF(Control!$B$11:$B$13,B8)=0,"Unknown product",IF(COUNTIFS(Dat_A,A8,Dat_B,B8,Dat_C,C8)&gt;1,"Duplicate market/product/year",IF(OR(NOT(ISNUMBER(D8)),NOT(ISNUMBER(E8))),"Add launch date and Data through date",IF(E8&lt;D8,"Data through is before launch",IF(OR(NOT(ISNUMBER(F8)),NOT(ISNUMBER(G8))),"Add units and revenue","OK")))))))</f>
        <v/>
      </c>
    </row>
    <row r="9">
      <c r="A9" s="17" t="inlineStr">
        <is>
          <t>Market A</t>
        </is>
      </c>
      <c r="B9" s="17" t="inlineStr">
        <is>
          <t>12-day</t>
        </is>
      </c>
      <c r="C9" s="17" t="n">
        <v>2026</v>
      </c>
      <c r="D9" s="18" t="n">
        <v>46276</v>
      </c>
      <c r="E9" s="18" t="n">
        <v>46304</v>
      </c>
      <c r="F9" s="19" t="n">
        <v>54</v>
      </c>
      <c r="G9" s="20" t="n">
        <v>3896</v>
      </c>
      <c r="H9" s="21">
        <f>IF(AND(ISNUMBER(D9),ISNUMBER(E9)),E9-D9+1,"")</f>
        <v/>
      </c>
      <c r="I9" s="22">
        <f>IF(AND(ISNUMBER(F9),N(F9)&gt;0,ISNUMBER(G9)),G9/F9,"")</f>
        <v/>
      </c>
      <c r="J9" s="21">
        <f>IF(OR(A9="",B9=""),"",IF(C9=Yr_Cur,"CY",IF(C9=Yr_Prev,"PY","")))</f>
        <v/>
      </c>
      <c r="K9" s="21">
        <f>IF(J9="","",IF(J9="CY",SUMIFS(Dat_H,Dat_A,A9,Dat_B,B9,Dat_C,Yr_Prev),SUMIFS(Dat_H,Dat_A,A9,Dat_B,B9,Dat_C,Yr_Cur)))</f>
        <v/>
      </c>
      <c r="L9" s="21">
        <f>IF(J9="",0,IF(AND(ISNUMBER(H9),N(K9)&gt;0,ISNUMBER(F9),ISNUMBER(G9),OR(Sel_Market="All markets",A9=Sel_Market),COUNTIFS(Control!$B$11:$B$13,B9,Control!$C$11:$C$13,"Yes")&gt;0),1,0))</f>
        <v/>
      </c>
      <c r="M9" s="21">
        <f>IF(L9=1,IF(J9="CY",H9,K9),"")</f>
        <v/>
      </c>
      <c r="N9" s="21">
        <f>IF(L9=1,IF(J9="PY",H9,K9),"")</f>
        <v/>
      </c>
      <c r="O9" s="23">
        <f>IF(L9=1,IF(J9="PY",F9*M9/N9,F9),0)</f>
        <v/>
      </c>
      <c r="P9" s="23">
        <f>IF(L9=1,IF(J9="PY",G9*M9/N9,G9),0)</f>
        <v/>
      </c>
      <c r="Q9" s="23">
        <f>IF(AND(L9=1,J9="PY"),F9*(N9-M9)/N9,0)</f>
        <v/>
      </c>
      <c r="R9" s="23">
        <f>IF(AND(L9=1,J9="PY"),G9*(N9-M9)/N9,0)</f>
        <v/>
      </c>
      <c r="S9" s="21">
        <f>IF(COUNTA(A9:G9)=0,"",IF(OR(A9="",B9="",NOT(ISNUMBER(C9))),"Fill market, product and year",IF(COUNTIF(Control!$B$11:$B$13,B9)=0,"Unknown product",IF(COUNTIFS(Dat_A,A9,Dat_B,B9,Dat_C,C9)&gt;1,"Duplicate market/product/year",IF(OR(NOT(ISNUMBER(D9)),NOT(ISNUMBER(E9))),"Add launch date and Data through date",IF(E9&lt;D9,"Data through is before launch",IF(OR(NOT(ISNUMBER(F9)),NOT(ISNUMBER(G9))),"Add units and revenue","OK")))))))</f>
        <v/>
      </c>
    </row>
    <row r="10">
      <c r="A10" s="17" t="n"/>
      <c r="B10" s="17" t="n"/>
      <c r="C10" s="17" t="n"/>
      <c r="D10" s="18" t="n"/>
      <c r="E10" s="18" t="n"/>
      <c r="F10" s="19" t="n"/>
      <c r="G10" s="20" t="n"/>
      <c r="H10" s="21">
        <f>IF(AND(ISNUMBER(D10),ISNUMBER(E10)),E10-D10+1,"")</f>
        <v/>
      </c>
      <c r="I10" s="22">
        <f>IF(AND(ISNUMBER(F10),N(F10)&gt;0,ISNUMBER(G10)),G10/F10,"")</f>
        <v/>
      </c>
      <c r="J10" s="21">
        <f>IF(OR(A10="",B10=""),"",IF(C10=Yr_Cur,"CY",IF(C10=Yr_Prev,"PY","")))</f>
        <v/>
      </c>
      <c r="K10" s="21">
        <f>IF(J10="","",IF(J10="CY",SUMIFS(Dat_H,Dat_A,A10,Dat_B,B10,Dat_C,Yr_Prev),SUMIFS(Dat_H,Dat_A,A10,Dat_B,B10,Dat_C,Yr_Cur)))</f>
        <v/>
      </c>
      <c r="L10" s="21">
        <f>IF(J10="",0,IF(AND(ISNUMBER(H10),N(K10)&gt;0,ISNUMBER(F10),ISNUMBER(G10),OR(Sel_Market="All markets",A10=Sel_Market),COUNTIFS(Control!$B$11:$B$13,B10,Control!$C$11:$C$13,"Yes")&gt;0),1,0))</f>
        <v/>
      </c>
      <c r="M10" s="21">
        <f>IF(L10=1,IF(J10="CY",H10,K10),"")</f>
        <v/>
      </c>
      <c r="N10" s="21">
        <f>IF(L10=1,IF(J10="PY",H10,K10),"")</f>
        <v/>
      </c>
      <c r="O10" s="23">
        <f>IF(L10=1,IF(J10="PY",F10*M10/N10,F10),0)</f>
        <v/>
      </c>
      <c r="P10" s="23">
        <f>IF(L10=1,IF(J10="PY",G10*M10/N10,G10),0)</f>
        <v/>
      </c>
      <c r="Q10" s="23">
        <f>IF(AND(L10=1,J10="PY"),F10*(N10-M10)/N10,0)</f>
        <v/>
      </c>
      <c r="R10" s="23">
        <f>IF(AND(L10=1,J10="PY"),G10*(N10-M10)/N10,0)</f>
        <v/>
      </c>
      <c r="S10" s="21">
        <f>IF(COUNTA(A10:G10)=0,"",IF(OR(A10="",B10="",NOT(ISNUMBER(C10))),"Fill market, product and year",IF(COUNTIF(Control!$B$11:$B$13,B10)=0,"Unknown product",IF(COUNTIFS(Dat_A,A10,Dat_B,B10,Dat_C,C10)&gt;1,"Duplicate market/product/year",IF(OR(NOT(ISNUMBER(D10)),NOT(ISNUMBER(E10))),"Add launch date and Data through date",IF(E10&lt;D10,"Data through is before launch",IF(OR(NOT(ISNUMBER(F10)),NOT(ISNUMBER(G10))),"Add units and revenue","OK")))))))</f>
        <v/>
      </c>
    </row>
    <row r="11">
      <c r="A11" s="17" t="n"/>
      <c r="B11" s="17" t="n"/>
      <c r="C11" s="17" t="n"/>
      <c r="D11" s="18" t="n"/>
      <c r="E11" s="18" t="n"/>
      <c r="F11" s="19" t="n"/>
      <c r="G11" s="20" t="n"/>
      <c r="H11" s="21">
        <f>IF(AND(ISNUMBER(D11),ISNUMBER(E11)),E11-D11+1,"")</f>
        <v/>
      </c>
      <c r="I11" s="22">
        <f>IF(AND(ISNUMBER(F11),N(F11)&gt;0,ISNUMBER(G11)),G11/F11,"")</f>
        <v/>
      </c>
      <c r="J11" s="21">
        <f>IF(OR(A11="",B11=""),"",IF(C11=Yr_Cur,"CY",IF(C11=Yr_Prev,"PY","")))</f>
        <v/>
      </c>
      <c r="K11" s="21">
        <f>IF(J11="","",IF(J11="CY",SUMIFS(Dat_H,Dat_A,A11,Dat_B,B11,Dat_C,Yr_Prev),SUMIFS(Dat_H,Dat_A,A11,Dat_B,B11,Dat_C,Yr_Cur)))</f>
        <v/>
      </c>
      <c r="L11" s="21">
        <f>IF(J11="",0,IF(AND(ISNUMBER(H11),N(K11)&gt;0,ISNUMBER(F11),ISNUMBER(G11),OR(Sel_Market="All markets",A11=Sel_Market),COUNTIFS(Control!$B$11:$B$13,B11,Control!$C$11:$C$13,"Yes")&gt;0),1,0))</f>
        <v/>
      </c>
      <c r="M11" s="21">
        <f>IF(L11=1,IF(J11="CY",H11,K11),"")</f>
        <v/>
      </c>
      <c r="N11" s="21">
        <f>IF(L11=1,IF(J11="PY",H11,K11),"")</f>
        <v/>
      </c>
      <c r="O11" s="23">
        <f>IF(L11=1,IF(J11="PY",F11*M11/N11,F11),0)</f>
        <v/>
      </c>
      <c r="P11" s="23">
        <f>IF(L11=1,IF(J11="PY",G11*M11/N11,G11),0)</f>
        <v/>
      </c>
      <c r="Q11" s="23">
        <f>IF(AND(L11=1,J11="PY"),F11*(N11-M11)/N11,0)</f>
        <v/>
      </c>
      <c r="R11" s="23">
        <f>IF(AND(L11=1,J11="PY"),G11*(N11-M11)/N11,0)</f>
        <v/>
      </c>
      <c r="S11" s="21">
        <f>IF(COUNTA(A11:G11)=0,"",IF(OR(A11="",B11="",NOT(ISNUMBER(C11))),"Fill market, product and year",IF(COUNTIF(Control!$B$11:$B$13,B11)=0,"Unknown product",IF(COUNTIFS(Dat_A,A11,Dat_B,B11,Dat_C,C11)&gt;1,"Duplicate market/product/year",IF(OR(NOT(ISNUMBER(D11)),NOT(ISNUMBER(E11))),"Add launch date and Data through date",IF(E11&lt;D11,"Data through is before launch",IF(OR(NOT(ISNUMBER(F11)),NOT(ISNUMBER(G11))),"Add units and revenue","OK")))))))</f>
        <v/>
      </c>
    </row>
    <row r="12">
      <c r="A12" s="17" t="n"/>
      <c r="B12" s="17" t="n"/>
      <c r="C12" s="17" t="n"/>
      <c r="D12" s="18" t="n"/>
      <c r="E12" s="18" t="n"/>
      <c r="F12" s="19" t="n"/>
      <c r="G12" s="20" t="n"/>
      <c r="H12" s="21">
        <f>IF(AND(ISNUMBER(D12),ISNUMBER(E12)),E12-D12+1,"")</f>
        <v/>
      </c>
      <c r="I12" s="22">
        <f>IF(AND(ISNUMBER(F12),N(F12)&gt;0,ISNUMBER(G12)),G12/F12,"")</f>
        <v/>
      </c>
      <c r="J12" s="21">
        <f>IF(OR(A12="",B12=""),"",IF(C12=Yr_Cur,"CY",IF(C12=Yr_Prev,"PY","")))</f>
        <v/>
      </c>
      <c r="K12" s="21">
        <f>IF(J12="","",IF(J12="CY",SUMIFS(Dat_H,Dat_A,A12,Dat_B,B12,Dat_C,Yr_Prev),SUMIFS(Dat_H,Dat_A,A12,Dat_B,B12,Dat_C,Yr_Cur)))</f>
        <v/>
      </c>
      <c r="L12" s="21">
        <f>IF(J12="",0,IF(AND(ISNUMBER(H12),N(K12)&gt;0,ISNUMBER(F12),ISNUMBER(G12),OR(Sel_Market="All markets",A12=Sel_Market),COUNTIFS(Control!$B$11:$B$13,B12,Control!$C$11:$C$13,"Yes")&gt;0),1,0))</f>
        <v/>
      </c>
      <c r="M12" s="21">
        <f>IF(L12=1,IF(J12="CY",H12,K12),"")</f>
        <v/>
      </c>
      <c r="N12" s="21">
        <f>IF(L12=1,IF(J12="PY",H12,K12),"")</f>
        <v/>
      </c>
      <c r="O12" s="23">
        <f>IF(L12=1,IF(J12="PY",F12*M12/N12,F12),0)</f>
        <v/>
      </c>
      <c r="P12" s="23">
        <f>IF(L12=1,IF(J12="PY",G12*M12/N12,G12),0)</f>
        <v/>
      </c>
      <c r="Q12" s="23">
        <f>IF(AND(L12=1,J12="PY"),F12*(N12-M12)/N12,0)</f>
        <v/>
      </c>
      <c r="R12" s="23">
        <f>IF(AND(L12=1,J12="PY"),G12*(N12-M12)/N12,0)</f>
        <v/>
      </c>
      <c r="S12" s="21">
        <f>IF(COUNTA(A12:G12)=0,"",IF(OR(A12="",B12="",NOT(ISNUMBER(C12))),"Fill market, product and year",IF(COUNTIF(Control!$B$11:$B$13,B12)=0,"Unknown product",IF(COUNTIFS(Dat_A,A12,Dat_B,B12,Dat_C,C12)&gt;1,"Duplicate market/product/year",IF(OR(NOT(ISNUMBER(D12)),NOT(ISNUMBER(E12))),"Add launch date and Data through date",IF(E12&lt;D12,"Data through is before launch",IF(OR(NOT(ISNUMBER(F12)),NOT(ISNUMBER(G12))),"Add units and revenue","OK")))))))</f>
        <v/>
      </c>
    </row>
    <row r="13">
      <c r="A13" s="17" t="n"/>
      <c r="B13" s="17" t="n"/>
      <c r="C13" s="17" t="n"/>
      <c r="D13" s="18" t="n"/>
      <c r="E13" s="18" t="n"/>
      <c r="F13" s="19" t="n"/>
      <c r="G13" s="20" t="n"/>
      <c r="H13" s="21">
        <f>IF(AND(ISNUMBER(D13),ISNUMBER(E13)),E13-D13+1,"")</f>
        <v/>
      </c>
      <c r="I13" s="22">
        <f>IF(AND(ISNUMBER(F13),N(F13)&gt;0,ISNUMBER(G13)),G13/F13,"")</f>
        <v/>
      </c>
      <c r="J13" s="21">
        <f>IF(OR(A13="",B13=""),"",IF(C13=Yr_Cur,"CY",IF(C13=Yr_Prev,"PY","")))</f>
        <v/>
      </c>
      <c r="K13" s="21">
        <f>IF(J13="","",IF(J13="CY",SUMIFS(Dat_H,Dat_A,A13,Dat_B,B13,Dat_C,Yr_Prev),SUMIFS(Dat_H,Dat_A,A13,Dat_B,B13,Dat_C,Yr_Cur)))</f>
        <v/>
      </c>
      <c r="L13" s="21">
        <f>IF(J13="",0,IF(AND(ISNUMBER(H13),N(K13)&gt;0,ISNUMBER(F13),ISNUMBER(G13),OR(Sel_Market="All markets",A13=Sel_Market),COUNTIFS(Control!$B$11:$B$13,B13,Control!$C$11:$C$13,"Yes")&gt;0),1,0))</f>
        <v/>
      </c>
      <c r="M13" s="21">
        <f>IF(L13=1,IF(J13="CY",H13,K13),"")</f>
        <v/>
      </c>
      <c r="N13" s="21">
        <f>IF(L13=1,IF(J13="PY",H13,K13),"")</f>
        <v/>
      </c>
      <c r="O13" s="23">
        <f>IF(L13=1,IF(J13="PY",F13*M13/N13,F13),0)</f>
        <v/>
      </c>
      <c r="P13" s="23">
        <f>IF(L13=1,IF(J13="PY",G13*M13/N13,G13),0)</f>
        <v/>
      </c>
      <c r="Q13" s="23">
        <f>IF(AND(L13=1,J13="PY"),F13*(N13-M13)/N13,0)</f>
        <v/>
      </c>
      <c r="R13" s="23">
        <f>IF(AND(L13=1,J13="PY"),G13*(N13-M13)/N13,0)</f>
        <v/>
      </c>
      <c r="S13" s="21">
        <f>IF(COUNTA(A13:G13)=0,"",IF(OR(A13="",B13="",NOT(ISNUMBER(C13))),"Fill market, product and year",IF(COUNTIF(Control!$B$11:$B$13,B13)=0,"Unknown product",IF(COUNTIFS(Dat_A,A13,Dat_B,B13,Dat_C,C13)&gt;1,"Duplicate market/product/year",IF(OR(NOT(ISNUMBER(D13)),NOT(ISNUMBER(E13))),"Add launch date and Data through date",IF(E13&lt;D13,"Data through is before launch",IF(OR(NOT(ISNUMBER(F13)),NOT(ISNUMBER(G13))),"Add units and revenue","OK")))))))</f>
        <v/>
      </c>
    </row>
    <row r="14">
      <c r="A14" s="17" t="n"/>
      <c r="B14" s="17" t="n"/>
      <c r="C14" s="17" t="n"/>
      <c r="D14" s="18" t="n"/>
      <c r="E14" s="18" t="n"/>
      <c r="F14" s="19" t="n"/>
      <c r="G14" s="20" t="n"/>
      <c r="H14" s="21">
        <f>IF(AND(ISNUMBER(D14),ISNUMBER(E14)),E14-D14+1,"")</f>
        <v/>
      </c>
      <c r="I14" s="22">
        <f>IF(AND(ISNUMBER(F14),N(F14)&gt;0,ISNUMBER(G14)),G14/F14,"")</f>
        <v/>
      </c>
      <c r="J14" s="21">
        <f>IF(OR(A14="",B14=""),"",IF(C14=Yr_Cur,"CY",IF(C14=Yr_Prev,"PY","")))</f>
        <v/>
      </c>
      <c r="K14" s="21">
        <f>IF(J14="","",IF(J14="CY",SUMIFS(Dat_H,Dat_A,A14,Dat_B,B14,Dat_C,Yr_Prev),SUMIFS(Dat_H,Dat_A,A14,Dat_B,B14,Dat_C,Yr_Cur)))</f>
        <v/>
      </c>
      <c r="L14" s="21">
        <f>IF(J14="",0,IF(AND(ISNUMBER(H14),N(K14)&gt;0,ISNUMBER(F14),ISNUMBER(G14),OR(Sel_Market="All markets",A14=Sel_Market),COUNTIFS(Control!$B$11:$B$13,B14,Control!$C$11:$C$13,"Yes")&gt;0),1,0))</f>
        <v/>
      </c>
      <c r="M14" s="21">
        <f>IF(L14=1,IF(J14="CY",H14,K14),"")</f>
        <v/>
      </c>
      <c r="N14" s="21">
        <f>IF(L14=1,IF(J14="PY",H14,K14),"")</f>
        <v/>
      </c>
      <c r="O14" s="23">
        <f>IF(L14=1,IF(J14="PY",F14*M14/N14,F14),0)</f>
        <v/>
      </c>
      <c r="P14" s="23">
        <f>IF(L14=1,IF(J14="PY",G14*M14/N14,G14),0)</f>
        <v/>
      </c>
      <c r="Q14" s="23">
        <f>IF(AND(L14=1,J14="PY"),F14*(N14-M14)/N14,0)</f>
        <v/>
      </c>
      <c r="R14" s="23">
        <f>IF(AND(L14=1,J14="PY"),G14*(N14-M14)/N14,0)</f>
        <v/>
      </c>
      <c r="S14" s="21">
        <f>IF(COUNTA(A14:G14)=0,"",IF(OR(A14="",B14="",NOT(ISNUMBER(C14))),"Fill market, product and year",IF(COUNTIF(Control!$B$11:$B$13,B14)=0,"Unknown product",IF(COUNTIFS(Dat_A,A14,Dat_B,B14,Dat_C,C14)&gt;1,"Duplicate market/product/year",IF(OR(NOT(ISNUMBER(D14)),NOT(ISNUMBER(E14))),"Add launch date and Data through date",IF(E14&lt;D14,"Data through is before launch",IF(OR(NOT(ISNUMBER(F14)),NOT(ISNUMBER(G14))),"Add units and revenue","OK")))))))</f>
        <v/>
      </c>
    </row>
    <row r="15">
      <c r="A15" s="17" t="n"/>
      <c r="B15" s="17" t="n"/>
      <c r="C15" s="17" t="n"/>
      <c r="D15" s="18" t="n"/>
      <c r="E15" s="18" t="n"/>
      <c r="F15" s="19" t="n"/>
      <c r="G15" s="20" t="n"/>
      <c r="H15" s="21">
        <f>IF(AND(ISNUMBER(D15),ISNUMBER(E15)),E15-D15+1,"")</f>
        <v/>
      </c>
      <c r="I15" s="22">
        <f>IF(AND(ISNUMBER(F15),N(F15)&gt;0,ISNUMBER(G15)),G15/F15,"")</f>
        <v/>
      </c>
      <c r="J15" s="21">
        <f>IF(OR(A15="",B15=""),"",IF(C15=Yr_Cur,"CY",IF(C15=Yr_Prev,"PY","")))</f>
        <v/>
      </c>
      <c r="K15" s="21">
        <f>IF(J15="","",IF(J15="CY",SUMIFS(Dat_H,Dat_A,A15,Dat_B,B15,Dat_C,Yr_Prev),SUMIFS(Dat_H,Dat_A,A15,Dat_B,B15,Dat_C,Yr_Cur)))</f>
        <v/>
      </c>
      <c r="L15" s="21">
        <f>IF(J15="",0,IF(AND(ISNUMBER(H15),N(K15)&gt;0,ISNUMBER(F15),ISNUMBER(G15),OR(Sel_Market="All markets",A15=Sel_Market),COUNTIFS(Control!$B$11:$B$13,B15,Control!$C$11:$C$13,"Yes")&gt;0),1,0))</f>
        <v/>
      </c>
      <c r="M15" s="21">
        <f>IF(L15=1,IF(J15="CY",H15,K15),"")</f>
        <v/>
      </c>
      <c r="N15" s="21">
        <f>IF(L15=1,IF(J15="PY",H15,K15),"")</f>
        <v/>
      </c>
      <c r="O15" s="23">
        <f>IF(L15=1,IF(J15="PY",F15*M15/N15,F15),0)</f>
        <v/>
      </c>
      <c r="P15" s="23">
        <f>IF(L15=1,IF(J15="PY",G15*M15/N15,G15),0)</f>
        <v/>
      </c>
      <c r="Q15" s="23">
        <f>IF(AND(L15=1,J15="PY"),F15*(N15-M15)/N15,0)</f>
        <v/>
      </c>
      <c r="R15" s="23">
        <f>IF(AND(L15=1,J15="PY"),G15*(N15-M15)/N15,0)</f>
        <v/>
      </c>
      <c r="S15" s="21">
        <f>IF(COUNTA(A15:G15)=0,"",IF(OR(A15="",B15="",NOT(ISNUMBER(C15))),"Fill market, product and year",IF(COUNTIF(Control!$B$11:$B$13,B15)=0,"Unknown product",IF(COUNTIFS(Dat_A,A15,Dat_B,B15,Dat_C,C15)&gt;1,"Duplicate market/product/year",IF(OR(NOT(ISNUMBER(D15)),NOT(ISNUMBER(E15))),"Add launch date and Data through date",IF(E15&lt;D15,"Data through is before launch",IF(OR(NOT(ISNUMBER(F15)),NOT(ISNUMBER(G15))),"Add units and revenue","OK")))))))</f>
        <v/>
      </c>
    </row>
    <row r="16">
      <c r="A16" s="17" t="n"/>
      <c r="B16" s="17" t="n"/>
      <c r="C16" s="17" t="n"/>
      <c r="D16" s="18" t="n"/>
      <c r="E16" s="18" t="n"/>
      <c r="F16" s="19" t="n"/>
      <c r="G16" s="20" t="n"/>
      <c r="H16" s="21">
        <f>IF(AND(ISNUMBER(D16),ISNUMBER(E16)),E16-D16+1,"")</f>
        <v/>
      </c>
      <c r="I16" s="22">
        <f>IF(AND(ISNUMBER(F16),N(F16)&gt;0,ISNUMBER(G16)),G16/F16,"")</f>
        <v/>
      </c>
      <c r="J16" s="21">
        <f>IF(OR(A16="",B16=""),"",IF(C16=Yr_Cur,"CY",IF(C16=Yr_Prev,"PY","")))</f>
        <v/>
      </c>
      <c r="K16" s="21">
        <f>IF(J16="","",IF(J16="CY",SUMIFS(Dat_H,Dat_A,A16,Dat_B,B16,Dat_C,Yr_Prev),SUMIFS(Dat_H,Dat_A,A16,Dat_B,B16,Dat_C,Yr_Cur)))</f>
        <v/>
      </c>
      <c r="L16" s="21">
        <f>IF(J16="",0,IF(AND(ISNUMBER(H16),N(K16)&gt;0,ISNUMBER(F16),ISNUMBER(G16),OR(Sel_Market="All markets",A16=Sel_Market),COUNTIFS(Control!$B$11:$B$13,B16,Control!$C$11:$C$13,"Yes")&gt;0),1,0))</f>
        <v/>
      </c>
      <c r="M16" s="21">
        <f>IF(L16=1,IF(J16="CY",H16,K16),"")</f>
        <v/>
      </c>
      <c r="N16" s="21">
        <f>IF(L16=1,IF(J16="PY",H16,K16),"")</f>
        <v/>
      </c>
      <c r="O16" s="23">
        <f>IF(L16=1,IF(J16="PY",F16*M16/N16,F16),0)</f>
        <v/>
      </c>
      <c r="P16" s="23">
        <f>IF(L16=1,IF(J16="PY",G16*M16/N16,G16),0)</f>
        <v/>
      </c>
      <c r="Q16" s="23">
        <f>IF(AND(L16=1,J16="PY"),F16*(N16-M16)/N16,0)</f>
        <v/>
      </c>
      <c r="R16" s="23">
        <f>IF(AND(L16=1,J16="PY"),G16*(N16-M16)/N16,0)</f>
        <v/>
      </c>
      <c r="S16" s="21">
        <f>IF(COUNTA(A16:G16)=0,"",IF(OR(A16="",B16="",NOT(ISNUMBER(C16))),"Fill market, product and year",IF(COUNTIF(Control!$B$11:$B$13,B16)=0,"Unknown product",IF(COUNTIFS(Dat_A,A16,Dat_B,B16,Dat_C,C16)&gt;1,"Duplicate market/product/year",IF(OR(NOT(ISNUMBER(D16)),NOT(ISNUMBER(E16))),"Add launch date and Data through date",IF(E16&lt;D16,"Data through is before launch",IF(OR(NOT(ISNUMBER(F16)),NOT(ISNUMBER(G16))),"Add units and revenue","OK")))))))</f>
        <v/>
      </c>
    </row>
    <row r="17">
      <c r="A17" s="17" t="n"/>
      <c r="B17" s="17" t="n"/>
      <c r="C17" s="17" t="n"/>
      <c r="D17" s="18" t="n"/>
      <c r="E17" s="18" t="n"/>
      <c r="F17" s="19" t="n"/>
      <c r="G17" s="20" t="n"/>
      <c r="H17" s="21">
        <f>IF(AND(ISNUMBER(D17),ISNUMBER(E17)),E17-D17+1,"")</f>
        <v/>
      </c>
      <c r="I17" s="22">
        <f>IF(AND(ISNUMBER(F17),N(F17)&gt;0,ISNUMBER(G17)),G17/F17,"")</f>
        <v/>
      </c>
      <c r="J17" s="21">
        <f>IF(OR(A17="",B17=""),"",IF(C17=Yr_Cur,"CY",IF(C17=Yr_Prev,"PY","")))</f>
        <v/>
      </c>
      <c r="K17" s="21">
        <f>IF(J17="","",IF(J17="CY",SUMIFS(Dat_H,Dat_A,A17,Dat_B,B17,Dat_C,Yr_Prev),SUMIFS(Dat_H,Dat_A,A17,Dat_B,B17,Dat_C,Yr_Cur)))</f>
        <v/>
      </c>
      <c r="L17" s="21">
        <f>IF(J17="",0,IF(AND(ISNUMBER(H17),N(K17)&gt;0,ISNUMBER(F17),ISNUMBER(G17),OR(Sel_Market="All markets",A17=Sel_Market),COUNTIFS(Control!$B$11:$B$13,B17,Control!$C$11:$C$13,"Yes")&gt;0),1,0))</f>
        <v/>
      </c>
      <c r="M17" s="21">
        <f>IF(L17=1,IF(J17="CY",H17,K17),"")</f>
        <v/>
      </c>
      <c r="N17" s="21">
        <f>IF(L17=1,IF(J17="PY",H17,K17),"")</f>
        <v/>
      </c>
      <c r="O17" s="23">
        <f>IF(L17=1,IF(J17="PY",F17*M17/N17,F17),0)</f>
        <v/>
      </c>
      <c r="P17" s="23">
        <f>IF(L17=1,IF(J17="PY",G17*M17/N17,G17),0)</f>
        <v/>
      </c>
      <c r="Q17" s="23">
        <f>IF(AND(L17=1,J17="PY"),F17*(N17-M17)/N17,0)</f>
        <v/>
      </c>
      <c r="R17" s="23">
        <f>IF(AND(L17=1,J17="PY"),G17*(N17-M17)/N17,0)</f>
        <v/>
      </c>
      <c r="S17" s="21">
        <f>IF(COUNTA(A17:G17)=0,"",IF(OR(A17="",B17="",NOT(ISNUMBER(C17))),"Fill market, product and year",IF(COUNTIF(Control!$B$11:$B$13,B17)=0,"Unknown product",IF(COUNTIFS(Dat_A,A17,Dat_B,B17,Dat_C,C17)&gt;1,"Duplicate market/product/year",IF(OR(NOT(ISNUMBER(D17)),NOT(ISNUMBER(E17))),"Add launch date and Data through date",IF(E17&lt;D17,"Data through is before launch",IF(OR(NOT(ISNUMBER(F17)),NOT(ISNUMBER(G17))),"Add units and revenue","OK")))))))</f>
        <v/>
      </c>
    </row>
    <row r="18">
      <c r="A18" s="17" t="n"/>
      <c r="B18" s="17" t="n"/>
      <c r="C18" s="17" t="n"/>
      <c r="D18" s="18" t="n"/>
      <c r="E18" s="18" t="n"/>
      <c r="F18" s="19" t="n"/>
      <c r="G18" s="20" t="n"/>
      <c r="H18" s="21">
        <f>IF(AND(ISNUMBER(D18),ISNUMBER(E18)),E18-D18+1,"")</f>
        <v/>
      </c>
      <c r="I18" s="22">
        <f>IF(AND(ISNUMBER(F18),N(F18)&gt;0,ISNUMBER(G18)),G18/F18,"")</f>
        <v/>
      </c>
      <c r="J18" s="21">
        <f>IF(OR(A18="",B18=""),"",IF(C18=Yr_Cur,"CY",IF(C18=Yr_Prev,"PY","")))</f>
        <v/>
      </c>
      <c r="K18" s="21">
        <f>IF(J18="","",IF(J18="CY",SUMIFS(Dat_H,Dat_A,A18,Dat_B,B18,Dat_C,Yr_Prev),SUMIFS(Dat_H,Dat_A,A18,Dat_B,B18,Dat_C,Yr_Cur)))</f>
        <v/>
      </c>
      <c r="L18" s="21">
        <f>IF(J18="",0,IF(AND(ISNUMBER(H18),N(K18)&gt;0,ISNUMBER(F18),ISNUMBER(G18),OR(Sel_Market="All markets",A18=Sel_Market),COUNTIFS(Control!$B$11:$B$13,B18,Control!$C$11:$C$13,"Yes")&gt;0),1,0))</f>
        <v/>
      </c>
      <c r="M18" s="21">
        <f>IF(L18=1,IF(J18="CY",H18,K18),"")</f>
        <v/>
      </c>
      <c r="N18" s="21">
        <f>IF(L18=1,IF(J18="PY",H18,K18),"")</f>
        <v/>
      </c>
      <c r="O18" s="23">
        <f>IF(L18=1,IF(J18="PY",F18*M18/N18,F18),0)</f>
        <v/>
      </c>
      <c r="P18" s="23">
        <f>IF(L18=1,IF(J18="PY",G18*M18/N18,G18),0)</f>
        <v/>
      </c>
      <c r="Q18" s="23">
        <f>IF(AND(L18=1,J18="PY"),F18*(N18-M18)/N18,0)</f>
        <v/>
      </c>
      <c r="R18" s="23">
        <f>IF(AND(L18=1,J18="PY"),G18*(N18-M18)/N18,0)</f>
        <v/>
      </c>
      <c r="S18" s="21">
        <f>IF(COUNTA(A18:G18)=0,"",IF(OR(A18="",B18="",NOT(ISNUMBER(C18))),"Fill market, product and year",IF(COUNTIF(Control!$B$11:$B$13,B18)=0,"Unknown product",IF(COUNTIFS(Dat_A,A18,Dat_B,B18,Dat_C,C18)&gt;1,"Duplicate market/product/year",IF(OR(NOT(ISNUMBER(D18)),NOT(ISNUMBER(E18))),"Add launch date and Data through date",IF(E18&lt;D18,"Data through is before launch",IF(OR(NOT(ISNUMBER(F18)),NOT(ISNUMBER(G18))),"Add units and revenue","OK")))))))</f>
        <v/>
      </c>
    </row>
    <row r="19">
      <c r="A19" s="17" t="n"/>
      <c r="B19" s="17" t="n"/>
      <c r="C19" s="17" t="n"/>
      <c r="D19" s="18" t="n"/>
      <c r="E19" s="18" t="n"/>
      <c r="F19" s="19" t="n"/>
      <c r="G19" s="20" t="n"/>
      <c r="H19" s="21">
        <f>IF(AND(ISNUMBER(D19),ISNUMBER(E19)),E19-D19+1,"")</f>
        <v/>
      </c>
      <c r="I19" s="22">
        <f>IF(AND(ISNUMBER(F19),N(F19)&gt;0,ISNUMBER(G19)),G19/F19,"")</f>
        <v/>
      </c>
      <c r="J19" s="21">
        <f>IF(OR(A19="",B19=""),"",IF(C19=Yr_Cur,"CY",IF(C19=Yr_Prev,"PY","")))</f>
        <v/>
      </c>
      <c r="K19" s="21">
        <f>IF(J19="","",IF(J19="CY",SUMIFS(Dat_H,Dat_A,A19,Dat_B,B19,Dat_C,Yr_Prev),SUMIFS(Dat_H,Dat_A,A19,Dat_B,B19,Dat_C,Yr_Cur)))</f>
        <v/>
      </c>
      <c r="L19" s="21">
        <f>IF(J19="",0,IF(AND(ISNUMBER(H19),N(K19)&gt;0,ISNUMBER(F19),ISNUMBER(G19),OR(Sel_Market="All markets",A19=Sel_Market),COUNTIFS(Control!$B$11:$B$13,B19,Control!$C$11:$C$13,"Yes")&gt;0),1,0))</f>
        <v/>
      </c>
      <c r="M19" s="21">
        <f>IF(L19=1,IF(J19="CY",H19,K19),"")</f>
        <v/>
      </c>
      <c r="N19" s="21">
        <f>IF(L19=1,IF(J19="PY",H19,K19),"")</f>
        <v/>
      </c>
      <c r="O19" s="23">
        <f>IF(L19=1,IF(J19="PY",F19*M19/N19,F19),0)</f>
        <v/>
      </c>
      <c r="P19" s="23">
        <f>IF(L19=1,IF(J19="PY",G19*M19/N19,G19),0)</f>
        <v/>
      </c>
      <c r="Q19" s="23">
        <f>IF(AND(L19=1,J19="PY"),F19*(N19-M19)/N19,0)</f>
        <v/>
      </c>
      <c r="R19" s="23">
        <f>IF(AND(L19=1,J19="PY"),G19*(N19-M19)/N19,0)</f>
        <v/>
      </c>
      <c r="S19" s="21">
        <f>IF(COUNTA(A19:G19)=0,"",IF(OR(A19="",B19="",NOT(ISNUMBER(C19))),"Fill market, product and year",IF(COUNTIF(Control!$B$11:$B$13,B19)=0,"Unknown product",IF(COUNTIFS(Dat_A,A19,Dat_B,B19,Dat_C,C19)&gt;1,"Duplicate market/product/year",IF(OR(NOT(ISNUMBER(D19)),NOT(ISNUMBER(E19))),"Add launch date and Data through date",IF(E19&lt;D19,"Data through is before launch",IF(OR(NOT(ISNUMBER(F19)),NOT(ISNUMBER(G19))),"Add units and revenue","OK")))))))</f>
        <v/>
      </c>
    </row>
    <row r="20">
      <c r="A20" s="17" t="n"/>
      <c r="B20" s="17" t="n"/>
      <c r="C20" s="17" t="n"/>
      <c r="D20" s="18" t="n"/>
      <c r="E20" s="18" t="n"/>
      <c r="F20" s="19" t="n"/>
      <c r="G20" s="20" t="n"/>
      <c r="H20" s="21">
        <f>IF(AND(ISNUMBER(D20),ISNUMBER(E20)),E20-D20+1,"")</f>
        <v/>
      </c>
      <c r="I20" s="22">
        <f>IF(AND(ISNUMBER(F20),N(F20)&gt;0,ISNUMBER(G20)),G20/F20,"")</f>
        <v/>
      </c>
      <c r="J20" s="21">
        <f>IF(OR(A20="",B20=""),"",IF(C20=Yr_Cur,"CY",IF(C20=Yr_Prev,"PY","")))</f>
        <v/>
      </c>
      <c r="K20" s="21">
        <f>IF(J20="","",IF(J20="CY",SUMIFS(Dat_H,Dat_A,A20,Dat_B,B20,Dat_C,Yr_Prev),SUMIFS(Dat_H,Dat_A,A20,Dat_B,B20,Dat_C,Yr_Cur)))</f>
        <v/>
      </c>
      <c r="L20" s="21">
        <f>IF(J20="",0,IF(AND(ISNUMBER(H20),N(K20)&gt;0,ISNUMBER(F20),ISNUMBER(G20),OR(Sel_Market="All markets",A20=Sel_Market),COUNTIFS(Control!$B$11:$B$13,B20,Control!$C$11:$C$13,"Yes")&gt;0),1,0))</f>
        <v/>
      </c>
      <c r="M20" s="21">
        <f>IF(L20=1,IF(J20="CY",H20,K20),"")</f>
        <v/>
      </c>
      <c r="N20" s="21">
        <f>IF(L20=1,IF(J20="PY",H20,K20),"")</f>
        <v/>
      </c>
      <c r="O20" s="23">
        <f>IF(L20=1,IF(J20="PY",F20*M20/N20,F20),0)</f>
        <v/>
      </c>
      <c r="P20" s="23">
        <f>IF(L20=1,IF(J20="PY",G20*M20/N20,G20),0)</f>
        <v/>
      </c>
      <c r="Q20" s="23">
        <f>IF(AND(L20=1,J20="PY"),F20*(N20-M20)/N20,0)</f>
        <v/>
      </c>
      <c r="R20" s="23">
        <f>IF(AND(L20=1,J20="PY"),G20*(N20-M20)/N20,0)</f>
        <v/>
      </c>
      <c r="S20" s="21">
        <f>IF(COUNTA(A20:G20)=0,"",IF(OR(A20="",B20="",NOT(ISNUMBER(C20))),"Fill market, product and year",IF(COUNTIF(Control!$B$11:$B$13,B20)=0,"Unknown product",IF(COUNTIFS(Dat_A,A20,Dat_B,B20,Dat_C,C20)&gt;1,"Duplicate market/product/year",IF(OR(NOT(ISNUMBER(D20)),NOT(ISNUMBER(E20))),"Add launch date and Data through date",IF(E20&lt;D20,"Data through is before launch",IF(OR(NOT(ISNUMBER(F20)),NOT(ISNUMBER(G20))),"Add units and revenue","OK")))))))</f>
        <v/>
      </c>
    </row>
    <row r="21">
      <c r="A21" s="17" t="n"/>
      <c r="B21" s="17" t="n"/>
      <c r="C21" s="17" t="n"/>
      <c r="D21" s="18" t="n"/>
      <c r="E21" s="18" t="n"/>
      <c r="F21" s="19" t="n"/>
      <c r="G21" s="20" t="n"/>
      <c r="H21" s="21">
        <f>IF(AND(ISNUMBER(D21),ISNUMBER(E21)),E21-D21+1,"")</f>
        <v/>
      </c>
      <c r="I21" s="22">
        <f>IF(AND(ISNUMBER(F21),N(F21)&gt;0,ISNUMBER(G21)),G21/F21,"")</f>
        <v/>
      </c>
      <c r="J21" s="21">
        <f>IF(OR(A21="",B21=""),"",IF(C21=Yr_Cur,"CY",IF(C21=Yr_Prev,"PY","")))</f>
        <v/>
      </c>
      <c r="K21" s="21">
        <f>IF(J21="","",IF(J21="CY",SUMIFS(Dat_H,Dat_A,A21,Dat_B,B21,Dat_C,Yr_Prev),SUMIFS(Dat_H,Dat_A,A21,Dat_B,B21,Dat_C,Yr_Cur)))</f>
        <v/>
      </c>
      <c r="L21" s="21">
        <f>IF(J21="",0,IF(AND(ISNUMBER(H21),N(K21)&gt;0,ISNUMBER(F21),ISNUMBER(G21),OR(Sel_Market="All markets",A21=Sel_Market),COUNTIFS(Control!$B$11:$B$13,B21,Control!$C$11:$C$13,"Yes")&gt;0),1,0))</f>
        <v/>
      </c>
      <c r="M21" s="21">
        <f>IF(L21=1,IF(J21="CY",H21,K21),"")</f>
        <v/>
      </c>
      <c r="N21" s="21">
        <f>IF(L21=1,IF(J21="PY",H21,K21),"")</f>
        <v/>
      </c>
      <c r="O21" s="23">
        <f>IF(L21=1,IF(J21="PY",F21*M21/N21,F21),0)</f>
        <v/>
      </c>
      <c r="P21" s="23">
        <f>IF(L21=1,IF(J21="PY",G21*M21/N21,G21),0)</f>
        <v/>
      </c>
      <c r="Q21" s="23">
        <f>IF(AND(L21=1,J21="PY"),F21*(N21-M21)/N21,0)</f>
        <v/>
      </c>
      <c r="R21" s="23">
        <f>IF(AND(L21=1,J21="PY"),G21*(N21-M21)/N21,0)</f>
        <v/>
      </c>
      <c r="S21" s="21">
        <f>IF(COUNTA(A21:G21)=0,"",IF(OR(A21="",B21="",NOT(ISNUMBER(C21))),"Fill market, product and year",IF(COUNTIF(Control!$B$11:$B$13,B21)=0,"Unknown product",IF(COUNTIFS(Dat_A,A21,Dat_B,B21,Dat_C,C21)&gt;1,"Duplicate market/product/year",IF(OR(NOT(ISNUMBER(D21)),NOT(ISNUMBER(E21))),"Add launch date and Data through date",IF(E21&lt;D21,"Data through is before launch",IF(OR(NOT(ISNUMBER(F21)),NOT(ISNUMBER(G21))),"Add units and revenue","OK")))))))</f>
        <v/>
      </c>
    </row>
    <row r="22">
      <c r="A22" s="17" t="n"/>
      <c r="B22" s="17" t="n"/>
      <c r="C22" s="17" t="n"/>
      <c r="D22" s="18" t="n"/>
      <c r="E22" s="18" t="n"/>
      <c r="F22" s="19" t="n"/>
      <c r="G22" s="20" t="n"/>
      <c r="H22" s="21">
        <f>IF(AND(ISNUMBER(D22),ISNUMBER(E22)),E22-D22+1,"")</f>
        <v/>
      </c>
      <c r="I22" s="22">
        <f>IF(AND(ISNUMBER(F22),N(F22)&gt;0,ISNUMBER(G22)),G22/F22,"")</f>
        <v/>
      </c>
      <c r="J22" s="21">
        <f>IF(OR(A22="",B22=""),"",IF(C22=Yr_Cur,"CY",IF(C22=Yr_Prev,"PY","")))</f>
        <v/>
      </c>
      <c r="K22" s="21">
        <f>IF(J22="","",IF(J22="CY",SUMIFS(Dat_H,Dat_A,A22,Dat_B,B22,Dat_C,Yr_Prev),SUMIFS(Dat_H,Dat_A,A22,Dat_B,B22,Dat_C,Yr_Cur)))</f>
        <v/>
      </c>
      <c r="L22" s="21">
        <f>IF(J22="",0,IF(AND(ISNUMBER(H22),N(K22)&gt;0,ISNUMBER(F22),ISNUMBER(G22),OR(Sel_Market="All markets",A22=Sel_Market),COUNTIFS(Control!$B$11:$B$13,B22,Control!$C$11:$C$13,"Yes")&gt;0),1,0))</f>
        <v/>
      </c>
      <c r="M22" s="21">
        <f>IF(L22=1,IF(J22="CY",H22,K22),"")</f>
        <v/>
      </c>
      <c r="N22" s="21">
        <f>IF(L22=1,IF(J22="PY",H22,K22),"")</f>
        <v/>
      </c>
      <c r="O22" s="23">
        <f>IF(L22=1,IF(J22="PY",F22*M22/N22,F22),0)</f>
        <v/>
      </c>
      <c r="P22" s="23">
        <f>IF(L22=1,IF(J22="PY",G22*M22/N22,G22),0)</f>
        <v/>
      </c>
      <c r="Q22" s="23">
        <f>IF(AND(L22=1,J22="PY"),F22*(N22-M22)/N22,0)</f>
        <v/>
      </c>
      <c r="R22" s="23">
        <f>IF(AND(L22=1,J22="PY"),G22*(N22-M22)/N22,0)</f>
        <v/>
      </c>
      <c r="S22" s="21">
        <f>IF(COUNTA(A22:G22)=0,"",IF(OR(A22="",B22="",NOT(ISNUMBER(C22))),"Fill market, product and year",IF(COUNTIF(Control!$B$11:$B$13,B22)=0,"Unknown product",IF(COUNTIFS(Dat_A,A22,Dat_B,B22,Dat_C,C22)&gt;1,"Duplicate market/product/year",IF(OR(NOT(ISNUMBER(D22)),NOT(ISNUMBER(E22))),"Add launch date and Data through date",IF(E22&lt;D22,"Data through is before launch",IF(OR(NOT(ISNUMBER(F22)),NOT(ISNUMBER(G22))),"Add units and revenue","OK")))))))</f>
        <v/>
      </c>
    </row>
    <row r="23">
      <c r="A23" s="17" t="n"/>
      <c r="B23" s="17" t="n"/>
      <c r="C23" s="17" t="n"/>
      <c r="D23" s="18" t="n"/>
      <c r="E23" s="18" t="n"/>
      <c r="F23" s="19" t="n"/>
      <c r="G23" s="20" t="n"/>
      <c r="H23" s="21">
        <f>IF(AND(ISNUMBER(D23),ISNUMBER(E23)),E23-D23+1,"")</f>
        <v/>
      </c>
      <c r="I23" s="22">
        <f>IF(AND(ISNUMBER(F23),N(F23)&gt;0,ISNUMBER(G23)),G23/F23,"")</f>
        <v/>
      </c>
      <c r="J23" s="21">
        <f>IF(OR(A23="",B23=""),"",IF(C23=Yr_Cur,"CY",IF(C23=Yr_Prev,"PY","")))</f>
        <v/>
      </c>
      <c r="K23" s="21">
        <f>IF(J23="","",IF(J23="CY",SUMIFS(Dat_H,Dat_A,A23,Dat_B,B23,Dat_C,Yr_Prev),SUMIFS(Dat_H,Dat_A,A23,Dat_B,B23,Dat_C,Yr_Cur)))</f>
        <v/>
      </c>
      <c r="L23" s="21">
        <f>IF(J23="",0,IF(AND(ISNUMBER(H23),N(K23)&gt;0,ISNUMBER(F23),ISNUMBER(G23),OR(Sel_Market="All markets",A23=Sel_Market),COUNTIFS(Control!$B$11:$B$13,B23,Control!$C$11:$C$13,"Yes")&gt;0),1,0))</f>
        <v/>
      </c>
      <c r="M23" s="21">
        <f>IF(L23=1,IF(J23="CY",H23,K23),"")</f>
        <v/>
      </c>
      <c r="N23" s="21">
        <f>IF(L23=1,IF(J23="PY",H23,K23),"")</f>
        <v/>
      </c>
      <c r="O23" s="23">
        <f>IF(L23=1,IF(J23="PY",F23*M23/N23,F23),0)</f>
        <v/>
      </c>
      <c r="P23" s="23">
        <f>IF(L23=1,IF(J23="PY",G23*M23/N23,G23),0)</f>
        <v/>
      </c>
      <c r="Q23" s="23">
        <f>IF(AND(L23=1,J23="PY"),F23*(N23-M23)/N23,0)</f>
        <v/>
      </c>
      <c r="R23" s="23">
        <f>IF(AND(L23=1,J23="PY"),G23*(N23-M23)/N23,0)</f>
        <v/>
      </c>
      <c r="S23" s="21">
        <f>IF(COUNTA(A23:G23)=0,"",IF(OR(A23="",B23="",NOT(ISNUMBER(C23))),"Fill market, product and year",IF(COUNTIF(Control!$B$11:$B$13,B23)=0,"Unknown product",IF(COUNTIFS(Dat_A,A23,Dat_B,B23,Dat_C,C23)&gt;1,"Duplicate market/product/year",IF(OR(NOT(ISNUMBER(D23)),NOT(ISNUMBER(E23))),"Add launch date and Data through date",IF(E23&lt;D23,"Data through is before launch",IF(OR(NOT(ISNUMBER(F23)),NOT(ISNUMBER(G23))),"Add units and revenue","OK")))))))</f>
        <v/>
      </c>
    </row>
    <row r="24">
      <c r="A24" s="17" t="n"/>
      <c r="B24" s="17" t="n"/>
      <c r="C24" s="17" t="n"/>
      <c r="D24" s="18" t="n"/>
      <c r="E24" s="18" t="n"/>
      <c r="F24" s="19" t="n"/>
      <c r="G24" s="20" t="n"/>
      <c r="H24" s="21">
        <f>IF(AND(ISNUMBER(D24),ISNUMBER(E24)),E24-D24+1,"")</f>
        <v/>
      </c>
      <c r="I24" s="22">
        <f>IF(AND(ISNUMBER(F24),N(F24)&gt;0,ISNUMBER(G24)),G24/F24,"")</f>
        <v/>
      </c>
      <c r="J24" s="21">
        <f>IF(OR(A24="",B24=""),"",IF(C24=Yr_Cur,"CY",IF(C24=Yr_Prev,"PY","")))</f>
        <v/>
      </c>
      <c r="K24" s="21">
        <f>IF(J24="","",IF(J24="CY",SUMIFS(Dat_H,Dat_A,A24,Dat_B,B24,Dat_C,Yr_Prev),SUMIFS(Dat_H,Dat_A,A24,Dat_B,B24,Dat_C,Yr_Cur)))</f>
        <v/>
      </c>
      <c r="L24" s="21">
        <f>IF(J24="",0,IF(AND(ISNUMBER(H24),N(K24)&gt;0,ISNUMBER(F24),ISNUMBER(G24),OR(Sel_Market="All markets",A24=Sel_Market),COUNTIFS(Control!$B$11:$B$13,B24,Control!$C$11:$C$13,"Yes")&gt;0),1,0))</f>
        <v/>
      </c>
      <c r="M24" s="21">
        <f>IF(L24=1,IF(J24="CY",H24,K24),"")</f>
        <v/>
      </c>
      <c r="N24" s="21">
        <f>IF(L24=1,IF(J24="PY",H24,K24),"")</f>
        <v/>
      </c>
      <c r="O24" s="23">
        <f>IF(L24=1,IF(J24="PY",F24*M24/N24,F24),0)</f>
        <v/>
      </c>
      <c r="P24" s="23">
        <f>IF(L24=1,IF(J24="PY",G24*M24/N24,G24),0)</f>
        <v/>
      </c>
      <c r="Q24" s="23">
        <f>IF(AND(L24=1,J24="PY"),F24*(N24-M24)/N24,0)</f>
        <v/>
      </c>
      <c r="R24" s="23">
        <f>IF(AND(L24=1,J24="PY"),G24*(N24-M24)/N24,0)</f>
        <v/>
      </c>
      <c r="S24" s="21">
        <f>IF(COUNTA(A24:G24)=0,"",IF(OR(A24="",B24="",NOT(ISNUMBER(C24))),"Fill market, product and year",IF(COUNTIF(Control!$B$11:$B$13,B24)=0,"Unknown product",IF(COUNTIFS(Dat_A,A24,Dat_B,B24,Dat_C,C24)&gt;1,"Duplicate market/product/year",IF(OR(NOT(ISNUMBER(D24)),NOT(ISNUMBER(E24))),"Add launch date and Data through date",IF(E24&lt;D24,"Data through is before launch",IF(OR(NOT(ISNUMBER(F24)),NOT(ISNUMBER(G24))),"Add units and revenue","OK")))))))</f>
        <v/>
      </c>
    </row>
    <row r="25">
      <c r="A25" s="17" t="n"/>
      <c r="B25" s="17" t="n"/>
      <c r="C25" s="17" t="n"/>
      <c r="D25" s="18" t="n"/>
      <c r="E25" s="18" t="n"/>
      <c r="F25" s="19" t="n"/>
      <c r="G25" s="20" t="n"/>
      <c r="H25" s="21">
        <f>IF(AND(ISNUMBER(D25),ISNUMBER(E25)),E25-D25+1,"")</f>
        <v/>
      </c>
      <c r="I25" s="22">
        <f>IF(AND(ISNUMBER(F25),N(F25)&gt;0,ISNUMBER(G25)),G25/F25,"")</f>
        <v/>
      </c>
      <c r="J25" s="21">
        <f>IF(OR(A25="",B25=""),"",IF(C25=Yr_Cur,"CY",IF(C25=Yr_Prev,"PY","")))</f>
        <v/>
      </c>
      <c r="K25" s="21">
        <f>IF(J25="","",IF(J25="CY",SUMIFS(Dat_H,Dat_A,A25,Dat_B,B25,Dat_C,Yr_Prev),SUMIFS(Dat_H,Dat_A,A25,Dat_B,B25,Dat_C,Yr_Cur)))</f>
        <v/>
      </c>
      <c r="L25" s="21">
        <f>IF(J25="",0,IF(AND(ISNUMBER(H25),N(K25)&gt;0,ISNUMBER(F25),ISNUMBER(G25),OR(Sel_Market="All markets",A25=Sel_Market),COUNTIFS(Control!$B$11:$B$13,B25,Control!$C$11:$C$13,"Yes")&gt;0),1,0))</f>
        <v/>
      </c>
      <c r="M25" s="21">
        <f>IF(L25=1,IF(J25="CY",H25,K25),"")</f>
        <v/>
      </c>
      <c r="N25" s="21">
        <f>IF(L25=1,IF(J25="PY",H25,K25),"")</f>
        <v/>
      </c>
      <c r="O25" s="23">
        <f>IF(L25=1,IF(J25="PY",F25*M25/N25,F25),0)</f>
        <v/>
      </c>
      <c r="P25" s="23">
        <f>IF(L25=1,IF(J25="PY",G25*M25/N25,G25),0)</f>
        <v/>
      </c>
      <c r="Q25" s="23">
        <f>IF(AND(L25=1,J25="PY"),F25*(N25-M25)/N25,0)</f>
        <v/>
      </c>
      <c r="R25" s="23">
        <f>IF(AND(L25=1,J25="PY"),G25*(N25-M25)/N25,0)</f>
        <v/>
      </c>
      <c r="S25" s="21">
        <f>IF(COUNTA(A25:G25)=0,"",IF(OR(A25="",B25="",NOT(ISNUMBER(C25))),"Fill market, product and year",IF(COUNTIF(Control!$B$11:$B$13,B25)=0,"Unknown product",IF(COUNTIFS(Dat_A,A25,Dat_B,B25,Dat_C,C25)&gt;1,"Duplicate market/product/year",IF(OR(NOT(ISNUMBER(D25)),NOT(ISNUMBER(E25))),"Add launch date and Data through date",IF(E25&lt;D25,"Data through is before launch",IF(OR(NOT(ISNUMBER(F25)),NOT(ISNUMBER(G25))),"Add units and revenue","OK")))))))</f>
        <v/>
      </c>
    </row>
    <row r="26">
      <c r="A26" s="17" t="n"/>
      <c r="B26" s="17" t="n"/>
      <c r="C26" s="17" t="n"/>
      <c r="D26" s="18" t="n"/>
      <c r="E26" s="18" t="n"/>
      <c r="F26" s="19" t="n"/>
      <c r="G26" s="20" t="n"/>
      <c r="H26" s="21">
        <f>IF(AND(ISNUMBER(D26),ISNUMBER(E26)),E26-D26+1,"")</f>
        <v/>
      </c>
      <c r="I26" s="22">
        <f>IF(AND(ISNUMBER(F26),N(F26)&gt;0,ISNUMBER(G26)),G26/F26,"")</f>
        <v/>
      </c>
      <c r="J26" s="21">
        <f>IF(OR(A26="",B26=""),"",IF(C26=Yr_Cur,"CY",IF(C26=Yr_Prev,"PY","")))</f>
        <v/>
      </c>
      <c r="K26" s="21">
        <f>IF(J26="","",IF(J26="CY",SUMIFS(Dat_H,Dat_A,A26,Dat_B,B26,Dat_C,Yr_Prev),SUMIFS(Dat_H,Dat_A,A26,Dat_B,B26,Dat_C,Yr_Cur)))</f>
        <v/>
      </c>
      <c r="L26" s="21">
        <f>IF(J26="",0,IF(AND(ISNUMBER(H26),N(K26)&gt;0,ISNUMBER(F26),ISNUMBER(G26),OR(Sel_Market="All markets",A26=Sel_Market),COUNTIFS(Control!$B$11:$B$13,B26,Control!$C$11:$C$13,"Yes")&gt;0),1,0))</f>
        <v/>
      </c>
      <c r="M26" s="21">
        <f>IF(L26=1,IF(J26="CY",H26,K26),"")</f>
        <v/>
      </c>
      <c r="N26" s="21">
        <f>IF(L26=1,IF(J26="PY",H26,K26),"")</f>
        <v/>
      </c>
      <c r="O26" s="23">
        <f>IF(L26=1,IF(J26="PY",F26*M26/N26,F26),0)</f>
        <v/>
      </c>
      <c r="P26" s="23">
        <f>IF(L26=1,IF(J26="PY",G26*M26/N26,G26),0)</f>
        <v/>
      </c>
      <c r="Q26" s="23">
        <f>IF(AND(L26=1,J26="PY"),F26*(N26-M26)/N26,0)</f>
        <v/>
      </c>
      <c r="R26" s="23">
        <f>IF(AND(L26=1,J26="PY"),G26*(N26-M26)/N26,0)</f>
        <v/>
      </c>
      <c r="S26" s="21">
        <f>IF(COUNTA(A26:G26)=0,"",IF(OR(A26="",B26="",NOT(ISNUMBER(C26))),"Fill market, product and year",IF(COUNTIF(Control!$B$11:$B$13,B26)=0,"Unknown product",IF(COUNTIFS(Dat_A,A26,Dat_B,B26,Dat_C,C26)&gt;1,"Duplicate market/product/year",IF(OR(NOT(ISNUMBER(D26)),NOT(ISNUMBER(E26))),"Add launch date and Data through date",IF(E26&lt;D26,"Data through is before launch",IF(OR(NOT(ISNUMBER(F26)),NOT(ISNUMBER(G26))),"Add units and revenue","OK")))))))</f>
        <v/>
      </c>
    </row>
    <row r="27">
      <c r="A27" s="17" t="n"/>
      <c r="B27" s="17" t="n"/>
      <c r="C27" s="17" t="n"/>
      <c r="D27" s="18" t="n"/>
      <c r="E27" s="18" t="n"/>
      <c r="F27" s="19" t="n"/>
      <c r="G27" s="20" t="n"/>
      <c r="H27" s="21">
        <f>IF(AND(ISNUMBER(D27),ISNUMBER(E27)),E27-D27+1,"")</f>
        <v/>
      </c>
      <c r="I27" s="22">
        <f>IF(AND(ISNUMBER(F27),N(F27)&gt;0,ISNUMBER(G27)),G27/F27,"")</f>
        <v/>
      </c>
      <c r="J27" s="21">
        <f>IF(OR(A27="",B27=""),"",IF(C27=Yr_Cur,"CY",IF(C27=Yr_Prev,"PY","")))</f>
        <v/>
      </c>
      <c r="K27" s="21">
        <f>IF(J27="","",IF(J27="CY",SUMIFS(Dat_H,Dat_A,A27,Dat_B,B27,Dat_C,Yr_Prev),SUMIFS(Dat_H,Dat_A,A27,Dat_B,B27,Dat_C,Yr_Cur)))</f>
        <v/>
      </c>
      <c r="L27" s="21">
        <f>IF(J27="",0,IF(AND(ISNUMBER(H27),N(K27)&gt;0,ISNUMBER(F27),ISNUMBER(G27),OR(Sel_Market="All markets",A27=Sel_Market),COUNTIFS(Control!$B$11:$B$13,B27,Control!$C$11:$C$13,"Yes")&gt;0),1,0))</f>
        <v/>
      </c>
      <c r="M27" s="21">
        <f>IF(L27=1,IF(J27="CY",H27,K27),"")</f>
        <v/>
      </c>
      <c r="N27" s="21">
        <f>IF(L27=1,IF(J27="PY",H27,K27),"")</f>
        <v/>
      </c>
      <c r="O27" s="23">
        <f>IF(L27=1,IF(J27="PY",F27*M27/N27,F27),0)</f>
        <v/>
      </c>
      <c r="P27" s="23">
        <f>IF(L27=1,IF(J27="PY",G27*M27/N27,G27),0)</f>
        <v/>
      </c>
      <c r="Q27" s="23">
        <f>IF(AND(L27=1,J27="PY"),F27*(N27-M27)/N27,0)</f>
        <v/>
      </c>
      <c r="R27" s="23">
        <f>IF(AND(L27=1,J27="PY"),G27*(N27-M27)/N27,0)</f>
        <v/>
      </c>
      <c r="S27" s="21">
        <f>IF(COUNTA(A27:G27)=0,"",IF(OR(A27="",B27="",NOT(ISNUMBER(C27))),"Fill market, product and year",IF(COUNTIF(Control!$B$11:$B$13,B27)=0,"Unknown product",IF(COUNTIFS(Dat_A,A27,Dat_B,B27,Dat_C,C27)&gt;1,"Duplicate market/product/year",IF(OR(NOT(ISNUMBER(D27)),NOT(ISNUMBER(E27))),"Add launch date and Data through date",IF(E27&lt;D27,"Data through is before launch",IF(OR(NOT(ISNUMBER(F27)),NOT(ISNUMBER(G27))),"Add units and revenue","OK")))))))</f>
        <v/>
      </c>
    </row>
    <row r="28">
      <c r="A28" s="17" t="n"/>
      <c r="B28" s="17" t="n"/>
      <c r="C28" s="17" t="n"/>
      <c r="D28" s="18" t="n"/>
      <c r="E28" s="18" t="n"/>
      <c r="F28" s="19" t="n"/>
      <c r="G28" s="20" t="n"/>
      <c r="H28" s="21">
        <f>IF(AND(ISNUMBER(D28),ISNUMBER(E28)),E28-D28+1,"")</f>
        <v/>
      </c>
      <c r="I28" s="22">
        <f>IF(AND(ISNUMBER(F28),N(F28)&gt;0,ISNUMBER(G28)),G28/F28,"")</f>
        <v/>
      </c>
      <c r="J28" s="21">
        <f>IF(OR(A28="",B28=""),"",IF(C28=Yr_Cur,"CY",IF(C28=Yr_Prev,"PY","")))</f>
        <v/>
      </c>
      <c r="K28" s="21">
        <f>IF(J28="","",IF(J28="CY",SUMIFS(Dat_H,Dat_A,A28,Dat_B,B28,Dat_C,Yr_Prev),SUMIFS(Dat_H,Dat_A,A28,Dat_B,B28,Dat_C,Yr_Cur)))</f>
        <v/>
      </c>
      <c r="L28" s="21">
        <f>IF(J28="",0,IF(AND(ISNUMBER(H28),N(K28)&gt;0,ISNUMBER(F28),ISNUMBER(G28),OR(Sel_Market="All markets",A28=Sel_Market),COUNTIFS(Control!$B$11:$B$13,B28,Control!$C$11:$C$13,"Yes")&gt;0),1,0))</f>
        <v/>
      </c>
      <c r="M28" s="21">
        <f>IF(L28=1,IF(J28="CY",H28,K28),"")</f>
        <v/>
      </c>
      <c r="N28" s="21">
        <f>IF(L28=1,IF(J28="PY",H28,K28),"")</f>
        <v/>
      </c>
      <c r="O28" s="23">
        <f>IF(L28=1,IF(J28="PY",F28*M28/N28,F28),0)</f>
        <v/>
      </c>
      <c r="P28" s="23">
        <f>IF(L28=1,IF(J28="PY",G28*M28/N28,G28),0)</f>
        <v/>
      </c>
      <c r="Q28" s="23">
        <f>IF(AND(L28=1,J28="PY"),F28*(N28-M28)/N28,0)</f>
        <v/>
      </c>
      <c r="R28" s="23">
        <f>IF(AND(L28=1,J28="PY"),G28*(N28-M28)/N28,0)</f>
        <v/>
      </c>
      <c r="S28" s="21">
        <f>IF(COUNTA(A28:G28)=0,"",IF(OR(A28="",B28="",NOT(ISNUMBER(C28))),"Fill market, product and year",IF(COUNTIF(Control!$B$11:$B$13,B28)=0,"Unknown product",IF(COUNTIFS(Dat_A,A28,Dat_B,B28,Dat_C,C28)&gt;1,"Duplicate market/product/year",IF(OR(NOT(ISNUMBER(D28)),NOT(ISNUMBER(E28))),"Add launch date and Data through date",IF(E28&lt;D28,"Data through is before launch",IF(OR(NOT(ISNUMBER(F28)),NOT(ISNUMBER(G28))),"Add units and revenue","OK")))))))</f>
        <v/>
      </c>
    </row>
    <row r="29">
      <c r="A29" s="17" t="n"/>
      <c r="B29" s="17" t="n"/>
      <c r="C29" s="17" t="n"/>
      <c r="D29" s="18" t="n"/>
      <c r="E29" s="18" t="n"/>
      <c r="F29" s="19" t="n"/>
      <c r="G29" s="20" t="n"/>
      <c r="H29" s="21">
        <f>IF(AND(ISNUMBER(D29),ISNUMBER(E29)),E29-D29+1,"")</f>
        <v/>
      </c>
      <c r="I29" s="22">
        <f>IF(AND(ISNUMBER(F29),N(F29)&gt;0,ISNUMBER(G29)),G29/F29,"")</f>
        <v/>
      </c>
      <c r="J29" s="21">
        <f>IF(OR(A29="",B29=""),"",IF(C29=Yr_Cur,"CY",IF(C29=Yr_Prev,"PY","")))</f>
        <v/>
      </c>
      <c r="K29" s="21">
        <f>IF(J29="","",IF(J29="CY",SUMIFS(Dat_H,Dat_A,A29,Dat_B,B29,Dat_C,Yr_Prev),SUMIFS(Dat_H,Dat_A,A29,Dat_B,B29,Dat_C,Yr_Cur)))</f>
        <v/>
      </c>
      <c r="L29" s="21">
        <f>IF(J29="",0,IF(AND(ISNUMBER(H29),N(K29)&gt;0,ISNUMBER(F29),ISNUMBER(G29),OR(Sel_Market="All markets",A29=Sel_Market),COUNTIFS(Control!$B$11:$B$13,B29,Control!$C$11:$C$13,"Yes")&gt;0),1,0))</f>
        <v/>
      </c>
      <c r="M29" s="21">
        <f>IF(L29=1,IF(J29="CY",H29,K29),"")</f>
        <v/>
      </c>
      <c r="N29" s="21">
        <f>IF(L29=1,IF(J29="PY",H29,K29),"")</f>
        <v/>
      </c>
      <c r="O29" s="23">
        <f>IF(L29=1,IF(J29="PY",F29*M29/N29,F29),0)</f>
        <v/>
      </c>
      <c r="P29" s="23">
        <f>IF(L29=1,IF(J29="PY",G29*M29/N29,G29),0)</f>
        <v/>
      </c>
      <c r="Q29" s="23">
        <f>IF(AND(L29=1,J29="PY"),F29*(N29-M29)/N29,0)</f>
        <v/>
      </c>
      <c r="R29" s="23">
        <f>IF(AND(L29=1,J29="PY"),G29*(N29-M29)/N29,0)</f>
        <v/>
      </c>
      <c r="S29" s="21">
        <f>IF(COUNTA(A29:G29)=0,"",IF(OR(A29="",B29="",NOT(ISNUMBER(C29))),"Fill market, product and year",IF(COUNTIF(Control!$B$11:$B$13,B29)=0,"Unknown product",IF(COUNTIFS(Dat_A,A29,Dat_B,B29,Dat_C,C29)&gt;1,"Duplicate market/product/year",IF(OR(NOT(ISNUMBER(D29)),NOT(ISNUMBER(E29))),"Add launch date and Data through date",IF(E29&lt;D29,"Data through is before launch",IF(OR(NOT(ISNUMBER(F29)),NOT(ISNUMBER(G29))),"Add units and revenue","OK")))))))</f>
        <v/>
      </c>
    </row>
    <row r="30">
      <c r="A30" s="17" t="n"/>
      <c r="B30" s="17" t="n"/>
      <c r="C30" s="17" t="n"/>
      <c r="D30" s="18" t="n"/>
      <c r="E30" s="18" t="n"/>
      <c r="F30" s="19" t="n"/>
      <c r="G30" s="20" t="n"/>
      <c r="H30" s="21">
        <f>IF(AND(ISNUMBER(D30),ISNUMBER(E30)),E30-D30+1,"")</f>
        <v/>
      </c>
      <c r="I30" s="22">
        <f>IF(AND(ISNUMBER(F30),N(F30)&gt;0,ISNUMBER(G30)),G30/F30,"")</f>
        <v/>
      </c>
      <c r="J30" s="21">
        <f>IF(OR(A30="",B30=""),"",IF(C30=Yr_Cur,"CY",IF(C30=Yr_Prev,"PY","")))</f>
        <v/>
      </c>
      <c r="K30" s="21">
        <f>IF(J30="","",IF(J30="CY",SUMIFS(Dat_H,Dat_A,A30,Dat_B,B30,Dat_C,Yr_Prev),SUMIFS(Dat_H,Dat_A,A30,Dat_B,B30,Dat_C,Yr_Cur)))</f>
        <v/>
      </c>
      <c r="L30" s="21">
        <f>IF(J30="",0,IF(AND(ISNUMBER(H30),N(K30)&gt;0,ISNUMBER(F30),ISNUMBER(G30),OR(Sel_Market="All markets",A30=Sel_Market),COUNTIFS(Control!$B$11:$B$13,B30,Control!$C$11:$C$13,"Yes")&gt;0),1,0))</f>
        <v/>
      </c>
      <c r="M30" s="21">
        <f>IF(L30=1,IF(J30="CY",H30,K30),"")</f>
        <v/>
      </c>
      <c r="N30" s="21">
        <f>IF(L30=1,IF(J30="PY",H30,K30),"")</f>
        <v/>
      </c>
      <c r="O30" s="23">
        <f>IF(L30=1,IF(J30="PY",F30*M30/N30,F30),0)</f>
        <v/>
      </c>
      <c r="P30" s="23">
        <f>IF(L30=1,IF(J30="PY",G30*M30/N30,G30),0)</f>
        <v/>
      </c>
      <c r="Q30" s="23">
        <f>IF(AND(L30=1,J30="PY"),F30*(N30-M30)/N30,0)</f>
        <v/>
      </c>
      <c r="R30" s="23">
        <f>IF(AND(L30=1,J30="PY"),G30*(N30-M30)/N30,0)</f>
        <v/>
      </c>
      <c r="S30" s="21">
        <f>IF(COUNTA(A30:G30)=0,"",IF(OR(A30="",B30="",NOT(ISNUMBER(C30))),"Fill market, product and year",IF(COUNTIF(Control!$B$11:$B$13,B30)=0,"Unknown product",IF(COUNTIFS(Dat_A,A30,Dat_B,B30,Dat_C,C30)&gt;1,"Duplicate market/product/year",IF(OR(NOT(ISNUMBER(D30)),NOT(ISNUMBER(E30))),"Add launch date and Data through date",IF(E30&lt;D30,"Data through is before launch",IF(OR(NOT(ISNUMBER(F30)),NOT(ISNUMBER(G30))),"Add units and revenue","OK")))))))</f>
        <v/>
      </c>
    </row>
    <row r="31">
      <c r="A31" s="17" t="n"/>
      <c r="B31" s="17" t="n"/>
      <c r="C31" s="17" t="n"/>
      <c r="D31" s="18" t="n"/>
      <c r="E31" s="18" t="n"/>
      <c r="F31" s="19" t="n"/>
      <c r="G31" s="20" t="n"/>
      <c r="H31" s="21">
        <f>IF(AND(ISNUMBER(D31),ISNUMBER(E31)),E31-D31+1,"")</f>
        <v/>
      </c>
      <c r="I31" s="22">
        <f>IF(AND(ISNUMBER(F31),N(F31)&gt;0,ISNUMBER(G31)),G31/F31,"")</f>
        <v/>
      </c>
      <c r="J31" s="21">
        <f>IF(OR(A31="",B31=""),"",IF(C31=Yr_Cur,"CY",IF(C31=Yr_Prev,"PY","")))</f>
        <v/>
      </c>
      <c r="K31" s="21">
        <f>IF(J31="","",IF(J31="CY",SUMIFS(Dat_H,Dat_A,A31,Dat_B,B31,Dat_C,Yr_Prev),SUMIFS(Dat_H,Dat_A,A31,Dat_B,B31,Dat_C,Yr_Cur)))</f>
        <v/>
      </c>
      <c r="L31" s="21">
        <f>IF(J31="",0,IF(AND(ISNUMBER(H31),N(K31)&gt;0,ISNUMBER(F31),ISNUMBER(G31),OR(Sel_Market="All markets",A31=Sel_Market),COUNTIFS(Control!$B$11:$B$13,B31,Control!$C$11:$C$13,"Yes")&gt;0),1,0))</f>
        <v/>
      </c>
      <c r="M31" s="21">
        <f>IF(L31=1,IF(J31="CY",H31,K31),"")</f>
        <v/>
      </c>
      <c r="N31" s="21">
        <f>IF(L31=1,IF(J31="PY",H31,K31),"")</f>
        <v/>
      </c>
      <c r="O31" s="23">
        <f>IF(L31=1,IF(J31="PY",F31*M31/N31,F31),0)</f>
        <v/>
      </c>
      <c r="P31" s="23">
        <f>IF(L31=1,IF(J31="PY",G31*M31/N31,G31),0)</f>
        <v/>
      </c>
      <c r="Q31" s="23">
        <f>IF(AND(L31=1,J31="PY"),F31*(N31-M31)/N31,0)</f>
        <v/>
      </c>
      <c r="R31" s="23">
        <f>IF(AND(L31=1,J31="PY"),G31*(N31-M31)/N31,0)</f>
        <v/>
      </c>
      <c r="S31" s="21">
        <f>IF(COUNTA(A31:G31)=0,"",IF(OR(A31="",B31="",NOT(ISNUMBER(C31))),"Fill market, product and year",IF(COUNTIF(Control!$B$11:$B$13,B31)=0,"Unknown product",IF(COUNTIFS(Dat_A,A31,Dat_B,B31,Dat_C,C31)&gt;1,"Duplicate market/product/year",IF(OR(NOT(ISNUMBER(D31)),NOT(ISNUMBER(E31))),"Add launch date and Data through date",IF(E31&lt;D31,"Data through is before launch",IF(OR(NOT(ISNUMBER(F31)),NOT(ISNUMBER(G31))),"Add units and revenue","OK")))))))</f>
        <v/>
      </c>
    </row>
    <row r="32">
      <c r="A32" s="17" t="n"/>
      <c r="B32" s="17" t="n"/>
      <c r="C32" s="17" t="n"/>
      <c r="D32" s="18" t="n"/>
      <c r="E32" s="18" t="n"/>
      <c r="F32" s="19" t="n"/>
      <c r="G32" s="20" t="n"/>
      <c r="H32" s="21">
        <f>IF(AND(ISNUMBER(D32),ISNUMBER(E32)),E32-D32+1,"")</f>
        <v/>
      </c>
      <c r="I32" s="22">
        <f>IF(AND(ISNUMBER(F32),N(F32)&gt;0,ISNUMBER(G32)),G32/F32,"")</f>
        <v/>
      </c>
      <c r="J32" s="21">
        <f>IF(OR(A32="",B32=""),"",IF(C32=Yr_Cur,"CY",IF(C32=Yr_Prev,"PY","")))</f>
        <v/>
      </c>
      <c r="K32" s="21">
        <f>IF(J32="","",IF(J32="CY",SUMIFS(Dat_H,Dat_A,A32,Dat_B,B32,Dat_C,Yr_Prev),SUMIFS(Dat_H,Dat_A,A32,Dat_B,B32,Dat_C,Yr_Cur)))</f>
        <v/>
      </c>
      <c r="L32" s="21">
        <f>IF(J32="",0,IF(AND(ISNUMBER(H32),N(K32)&gt;0,ISNUMBER(F32),ISNUMBER(G32),OR(Sel_Market="All markets",A32=Sel_Market),COUNTIFS(Control!$B$11:$B$13,B32,Control!$C$11:$C$13,"Yes")&gt;0),1,0))</f>
        <v/>
      </c>
      <c r="M32" s="21">
        <f>IF(L32=1,IF(J32="CY",H32,K32),"")</f>
        <v/>
      </c>
      <c r="N32" s="21">
        <f>IF(L32=1,IF(J32="PY",H32,K32),"")</f>
        <v/>
      </c>
      <c r="O32" s="23">
        <f>IF(L32=1,IF(J32="PY",F32*M32/N32,F32),0)</f>
        <v/>
      </c>
      <c r="P32" s="23">
        <f>IF(L32=1,IF(J32="PY",G32*M32/N32,G32),0)</f>
        <v/>
      </c>
      <c r="Q32" s="23">
        <f>IF(AND(L32=1,J32="PY"),F32*(N32-M32)/N32,0)</f>
        <v/>
      </c>
      <c r="R32" s="23">
        <f>IF(AND(L32=1,J32="PY"),G32*(N32-M32)/N32,0)</f>
        <v/>
      </c>
      <c r="S32" s="21">
        <f>IF(COUNTA(A32:G32)=0,"",IF(OR(A32="",B32="",NOT(ISNUMBER(C32))),"Fill market, product and year",IF(COUNTIF(Control!$B$11:$B$13,B32)=0,"Unknown product",IF(COUNTIFS(Dat_A,A32,Dat_B,B32,Dat_C,C32)&gt;1,"Duplicate market/product/year",IF(OR(NOT(ISNUMBER(D32)),NOT(ISNUMBER(E32))),"Add launch date and Data through date",IF(E32&lt;D32,"Data through is before launch",IF(OR(NOT(ISNUMBER(F32)),NOT(ISNUMBER(G32))),"Add units and revenue","OK")))))))</f>
        <v/>
      </c>
    </row>
    <row r="33">
      <c r="A33" s="17" t="n"/>
      <c r="B33" s="17" t="n"/>
      <c r="C33" s="17" t="n"/>
      <c r="D33" s="18" t="n"/>
      <c r="E33" s="18" t="n"/>
      <c r="F33" s="19" t="n"/>
      <c r="G33" s="20" t="n"/>
      <c r="H33" s="21">
        <f>IF(AND(ISNUMBER(D33),ISNUMBER(E33)),E33-D33+1,"")</f>
        <v/>
      </c>
      <c r="I33" s="22">
        <f>IF(AND(ISNUMBER(F33),N(F33)&gt;0,ISNUMBER(G33)),G33/F33,"")</f>
        <v/>
      </c>
      <c r="J33" s="21">
        <f>IF(OR(A33="",B33=""),"",IF(C33=Yr_Cur,"CY",IF(C33=Yr_Prev,"PY","")))</f>
        <v/>
      </c>
      <c r="K33" s="21">
        <f>IF(J33="","",IF(J33="CY",SUMIFS(Dat_H,Dat_A,A33,Dat_B,B33,Dat_C,Yr_Prev),SUMIFS(Dat_H,Dat_A,A33,Dat_B,B33,Dat_C,Yr_Cur)))</f>
        <v/>
      </c>
      <c r="L33" s="21">
        <f>IF(J33="",0,IF(AND(ISNUMBER(H33),N(K33)&gt;0,ISNUMBER(F33),ISNUMBER(G33),OR(Sel_Market="All markets",A33=Sel_Market),COUNTIFS(Control!$B$11:$B$13,B33,Control!$C$11:$C$13,"Yes")&gt;0),1,0))</f>
        <v/>
      </c>
      <c r="M33" s="21">
        <f>IF(L33=1,IF(J33="CY",H33,K33),"")</f>
        <v/>
      </c>
      <c r="N33" s="21">
        <f>IF(L33=1,IF(J33="PY",H33,K33),"")</f>
        <v/>
      </c>
      <c r="O33" s="23">
        <f>IF(L33=1,IF(J33="PY",F33*M33/N33,F33),0)</f>
        <v/>
      </c>
      <c r="P33" s="23">
        <f>IF(L33=1,IF(J33="PY",G33*M33/N33,G33),0)</f>
        <v/>
      </c>
      <c r="Q33" s="23">
        <f>IF(AND(L33=1,J33="PY"),F33*(N33-M33)/N33,0)</f>
        <v/>
      </c>
      <c r="R33" s="23">
        <f>IF(AND(L33=1,J33="PY"),G33*(N33-M33)/N33,0)</f>
        <v/>
      </c>
      <c r="S33" s="21">
        <f>IF(COUNTA(A33:G33)=0,"",IF(OR(A33="",B33="",NOT(ISNUMBER(C33))),"Fill market, product and year",IF(COUNTIF(Control!$B$11:$B$13,B33)=0,"Unknown product",IF(COUNTIFS(Dat_A,A33,Dat_B,B33,Dat_C,C33)&gt;1,"Duplicate market/product/year",IF(OR(NOT(ISNUMBER(D33)),NOT(ISNUMBER(E33))),"Add launch date and Data through date",IF(E33&lt;D33,"Data through is before launch",IF(OR(NOT(ISNUMBER(F33)),NOT(ISNUMBER(G33))),"Add units and revenue","OK")))))))</f>
        <v/>
      </c>
    </row>
    <row r="34">
      <c r="A34" s="17" t="n"/>
      <c r="B34" s="17" t="n"/>
      <c r="C34" s="17" t="n"/>
      <c r="D34" s="18" t="n"/>
      <c r="E34" s="18" t="n"/>
      <c r="F34" s="19" t="n"/>
      <c r="G34" s="20" t="n"/>
      <c r="H34" s="21">
        <f>IF(AND(ISNUMBER(D34),ISNUMBER(E34)),E34-D34+1,"")</f>
        <v/>
      </c>
      <c r="I34" s="22">
        <f>IF(AND(ISNUMBER(F34),N(F34)&gt;0,ISNUMBER(G34)),G34/F34,"")</f>
        <v/>
      </c>
      <c r="J34" s="21">
        <f>IF(OR(A34="",B34=""),"",IF(C34=Yr_Cur,"CY",IF(C34=Yr_Prev,"PY","")))</f>
        <v/>
      </c>
      <c r="K34" s="21">
        <f>IF(J34="","",IF(J34="CY",SUMIFS(Dat_H,Dat_A,A34,Dat_B,B34,Dat_C,Yr_Prev),SUMIFS(Dat_H,Dat_A,A34,Dat_B,B34,Dat_C,Yr_Cur)))</f>
        <v/>
      </c>
      <c r="L34" s="21">
        <f>IF(J34="",0,IF(AND(ISNUMBER(H34),N(K34)&gt;0,ISNUMBER(F34),ISNUMBER(G34),OR(Sel_Market="All markets",A34=Sel_Market),COUNTIFS(Control!$B$11:$B$13,B34,Control!$C$11:$C$13,"Yes")&gt;0),1,0))</f>
        <v/>
      </c>
      <c r="M34" s="21">
        <f>IF(L34=1,IF(J34="CY",H34,K34),"")</f>
        <v/>
      </c>
      <c r="N34" s="21">
        <f>IF(L34=1,IF(J34="PY",H34,K34),"")</f>
        <v/>
      </c>
      <c r="O34" s="23">
        <f>IF(L34=1,IF(J34="PY",F34*M34/N34,F34),0)</f>
        <v/>
      </c>
      <c r="P34" s="23">
        <f>IF(L34=1,IF(J34="PY",G34*M34/N34,G34),0)</f>
        <v/>
      </c>
      <c r="Q34" s="23">
        <f>IF(AND(L34=1,J34="PY"),F34*(N34-M34)/N34,0)</f>
        <v/>
      </c>
      <c r="R34" s="23">
        <f>IF(AND(L34=1,J34="PY"),G34*(N34-M34)/N34,0)</f>
        <v/>
      </c>
      <c r="S34" s="21">
        <f>IF(COUNTA(A34:G34)=0,"",IF(OR(A34="",B34="",NOT(ISNUMBER(C34))),"Fill market, product and year",IF(COUNTIF(Control!$B$11:$B$13,B34)=0,"Unknown product",IF(COUNTIFS(Dat_A,A34,Dat_B,B34,Dat_C,C34)&gt;1,"Duplicate market/product/year",IF(OR(NOT(ISNUMBER(D34)),NOT(ISNUMBER(E34))),"Add launch date and Data through date",IF(E34&lt;D34,"Data through is before launch",IF(OR(NOT(ISNUMBER(F34)),NOT(ISNUMBER(G34))),"Add units and revenue","OK")))))))</f>
        <v/>
      </c>
    </row>
    <row r="35">
      <c r="A35" s="17" t="n"/>
      <c r="B35" s="17" t="n"/>
      <c r="C35" s="17" t="n"/>
      <c r="D35" s="18" t="n"/>
      <c r="E35" s="18" t="n"/>
      <c r="F35" s="19" t="n"/>
      <c r="G35" s="20" t="n"/>
      <c r="H35" s="21">
        <f>IF(AND(ISNUMBER(D35),ISNUMBER(E35)),E35-D35+1,"")</f>
        <v/>
      </c>
      <c r="I35" s="22">
        <f>IF(AND(ISNUMBER(F35),N(F35)&gt;0,ISNUMBER(G35)),G35/F35,"")</f>
        <v/>
      </c>
      <c r="J35" s="21">
        <f>IF(OR(A35="",B35=""),"",IF(C35=Yr_Cur,"CY",IF(C35=Yr_Prev,"PY","")))</f>
        <v/>
      </c>
      <c r="K35" s="21">
        <f>IF(J35="","",IF(J35="CY",SUMIFS(Dat_H,Dat_A,A35,Dat_B,B35,Dat_C,Yr_Prev),SUMIFS(Dat_H,Dat_A,A35,Dat_B,B35,Dat_C,Yr_Cur)))</f>
        <v/>
      </c>
      <c r="L35" s="21">
        <f>IF(J35="",0,IF(AND(ISNUMBER(H35),N(K35)&gt;0,ISNUMBER(F35),ISNUMBER(G35),OR(Sel_Market="All markets",A35=Sel_Market),COUNTIFS(Control!$B$11:$B$13,B35,Control!$C$11:$C$13,"Yes")&gt;0),1,0))</f>
        <v/>
      </c>
      <c r="M35" s="21">
        <f>IF(L35=1,IF(J35="CY",H35,K35),"")</f>
        <v/>
      </c>
      <c r="N35" s="21">
        <f>IF(L35=1,IF(J35="PY",H35,K35),"")</f>
        <v/>
      </c>
      <c r="O35" s="23">
        <f>IF(L35=1,IF(J35="PY",F35*M35/N35,F35),0)</f>
        <v/>
      </c>
      <c r="P35" s="23">
        <f>IF(L35=1,IF(J35="PY",G35*M35/N35,G35),0)</f>
        <v/>
      </c>
      <c r="Q35" s="23">
        <f>IF(AND(L35=1,J35="PY"),F35*(N35-M35)/N35,0)</f>
        <v/>
      </c>
      <c r="R35" s="23">
        <f>IF(AND(L35=1,J35="PY"),G35*(N35-M35)/N35,0)</f>
        <v/>
      </c>
      <c r="S35" s="21">
        <f>IF(COUNTA(A35:G35)=0,"",IF(OR(A35="",B35="",NOT(ISNUMBER(C35))),"Fill market, product and year",IF(COUNTIF(Control!$B$11:$B$13,B35)=0,"Unknown product",IF(COUNTIFS(Dat_A,A35,Dat_B,B35,Dat_C,C35)&gt;1,"Duplicate market/product/year",IF(OR(NOT(ISNUMBER(D35)),NOT(ISNUMBER(E35))),"Add launch date and Data through date",IF(E35&lt;D35,"Data through is before launch",IF(OR(NOT(ISNUMBER(F35)),NOT(ISNUMBER(G35))),"Add units and revenue","OK")))))))</f>
        <v/>
      </c>
    </row>
    <row r="36">
      <c r="A36" s="17" t="n"/>
      <c r="B36" s="17" t="n"/>
      <c r="C36" s="17" t="n"/>
      <c r="D36" s="18" t="n"/>
      <c r="E36" s="18" t="n"/>
      <c r="F36" s="19" t="n"/>
      <c r="G36" s="20" t="n"/>
      <c r="H36" s="21">
        <f>IF(AND(ISNUMBER(D36),ISNUMBER(E36)),E36-D36+1,"")</f>
        <v/>
      </c>
      <c r="I36" s="22">
        <f>IF(AND(ISNUMBER(F36),N(F36)&gt;0,ISNUMBER(G36)),G36/F36,"")</f>
        <v/>
      </c>
      <c r="J36" s="21">
        <f>IF(OR(A36="",B36=""),"",IF(C36=Yr_Cur,"CY",IF(C36=Yr_Prev,"PY","")))</f>
        <v/>
      </c>
      <c r="K36" s="21">
        <f>IF(J36="","",IF(J36="CY",SUMIFS(Dat_H,Dat_A,A36,Dat_B,B36,Dat_C,Yr_Prev),SUMIFS(Dat_H,Dat_A,A36,Dat_B,B36,Dat_C,Yr_Cur)))</f>
        <v/>
      </c>
      <c r="L36" s="21">
        <f>IF(J36="",0,IF(AND(ISNUMBER(H36),N(K36)&gt;0,ISNUMBER(F36),ISNUMBER(G36),OR(Sel_Market="All markets",A36=Sel_Market),COUNTIFS(Control!$B$11:$B$13,B36,Control!$C$11:$C$13,"Yes")&gt;0),1,0))</f>
        <v/>
      </c>
      <c r="M36" s="21">
        <f>IF(L36=1,IF(J36="CY",H36,K36),"")</f>
        <v/>
      </c>
      <c r="N36" s="21">
        <f>IF(L36=1,IF(J36="PY",H36,K36),"")</f>
        <v/>
      </c>
      <c r="O36" s="23">
        <f>IF(L36=1,IF(J36="PY",F36*M36/N36,F36),0)</f>
        <v/>
      </c>
      <c r="P36" s="23">
        <f>IF(L36=1,IF(J36="PY",G36*M36/N36,G36),0)</f>
        <v/>
      </c>
      <c r="Q36" s="23">
        <f>IF(AND(L36=1,J36="PY"),F36*(N36-M36)/N36,0)</f>
        <v/>
      </c>
      <c r="R36" s="23">
        <f>IF(AND(L36=1,J36="PY"),G36*(N36-M36)/N36,0)</f>
        <v/>
      </c>
      <c r="S36" s="21">
        <f>IF(COUNTA(A36:G36)=0,"",IF(OR(A36="",B36="",NOT(ISNUMBER(C36))),"Fill market, product and year",IF(COUNTIF(Control!$B$11:$B$13,B36)=0,"Unknown product",IF(COUNTIFS(Dat_A,A36,Dat_B,B36,Dat_C,C36)&gt;1,"Duplicate market/product/year",IF(OR(NOT(ISNUMBER(D36)),NOT(ISNUMBER(E36))),"Add launch date and Data through date",IF(E36&lt;D36,"Data through is before launch",IF(OR(NOT(ISNUMBER(F36)),NOT(ISNUMBER(G36))),"Add units and revenue","OK")))))))</f>
        <v/>
      </c>
    </row>
    <row r="37">
      <c r="A37" s="17" t="n"/>
      <c r="B37" s="17" t="n"/>
      <c r="C37" s="17" t="n"/>
      <c r="D37" s="18" t="n"/>
      <c r="E37" s="18" t="n"/>
      <c r="F37" s="19" t="n"/>
      <c r="G37" s="20" t="n"/>
      <c r="H37" s="21">
        <f>IF(AND(ISNUMBER(D37),ISNUMBER(E37)),E37-D37+1,"")</f>
        <v/>
      </c>
      <c r="I37" s="22">
        <f>IF(AND(ISNUMBER(F37),N(F37)&gt;0,ISNUMBER(G37)),G37/F37,"")</f>
        <v/>
      </c>
      <c r="J37" s="21">
        <f>IF(OR(A37="",B37=""),"",IF(C37=Yr_Cur,"CY",IF(C37=Yr_Prev,"PY","")))</f>
        <v/>
      </c>
      <c r="K37" s="21">
        <f>IF(J37="","",IF(J37="CY",SUMIFS(Dat_H,Dat_A,A37,Dat_B,B37,Dat_C,Yr_Prev),SUMIFS(Dat_H,Dat_A,A37,Dat_B,B37,Dat_C,Yr_Cur)))</f>
        <v/>
      </c>
      <c r="L37" s="21">
        <f>IF(J37="",0,IF(AND(ISNUMBER(H37),N(K37)&gt;0,ISNUMBER(F37),ISNUMBER(G37),OR(Sel_Market="All markets",A37=Sel_Market),COUNTIFS(Control!$B$11:$B$13,B37,Control!$C$11:$C$13,"Yes")&gt;0),1,0))</f>
        <v/>
      </c>
      <c r="M37" s="21">
        <f>IF(L37=1,IF(J37="CY",H37,K37),"")</f>
        <v/>
      </c>
      <c r="N37" s="21">
        <f>IF(L37=1,IF(J37="PY",H37,K37),"")</f>
        <v/>
      </c>
      <c r="O37" s="23">
        <f>IF(L37=1,IF(J37="PY",F37*M37/N37,F37),0)</f>
        <v/>
      </c>
      <c r="P37" s="23">
        <f>IF(L37=1,IF(J37="PY",G37*M37/N37,G37),0)</f>
        <v/>
      </c>
      <c r="Q37" s="23">
        <f>IF(AND(L37=1,J37="PY"),F37*(N37-M37)/N37,0)</f>
        <v/>
      </c>
      <c r="R37" s="23">
        <f>IF(AND(L37=1,J37="PY"),G37*(N37-M37)/N37,0)</f>
        <v/>
      </c>
      <c r="S37" s="21">
        <f>IF(COUNTA(A37:G37)=0,"",IF(OR(A37="",B37="",NOT(ISNUMBER(C37))),"Fill market, product and year",IF(COUNTIF(Control!$B$11:$B$13,B37)=0,"Unknown product",IF(COUNTIFS(Dat_A,A37,Dat_B,B37,Dat_C,C37)&gt;1,"Duplicate market/product/year",IF(OR(NOT(ISNUMBER(D37)),NOT(ISNUMBER(E37))),"Add launch date and Data through date",IF(E37&lt;D37,"Data through is before launch",IF(OR(NOT(ISNUMBER(F37)),NOT(ISNUMBER(G37))),"Add units and revenue","OK")))))))</f>
        <v/>
      </c>
    </row>
    <row r="38">
      <c r="A38" s="17" t="n"/>
      <c r="B38" s="17" t="n"/>
      <c r="C38" s="17" t="n"/>
      <c r="D38" s="18" t="n"/>
      <c r="E38" s="18" t="n"/>
      <c r="F38" s="19" t="n"/>
      <c r="G38" s="20" t="n"/>
      <c r="H38" s="21">
        <f>IF(AND(ISNUMBER(D38),ISNUMBER(E38)),E38-D38+1,"")</f>
        <v/>
      </c>
      <c r="I38" s="22">
        <f>IF(AND(ISNUMBER(F38),N(F38)&gt;0,ISNUMBER(G38)),G38/F38,"")</f>
        <v/>
      </c>
      <c r="J38" s="21">
        <f>IF(OR(A38="",B38=""),"",IF(C38=Yr_Cur,"CY",IF(C38=Yr_Prev,"PY","")))</f>
        <v/>
      </c>
      <c r="K38" s="21">
        <f>IF(J38="","",IF(J38="CY",SUMIFS(Dat_H,Dat_A,A38,Dat_B,B38,Dat_C,Yr_Prev),SUMIFS(Dat_H,Dat_A,A38,Dat_B,B38,Dat_C,Yr_Cur)))</f>
        <v/>
      </c>
      <c r="L38" s="21">
        <f>IF(J38="",0,IF(AND(ISNUMBER(H38),N(K38)&gt;0,ISNUMBER(F38),ISNUMBER(G38),OR(Sel_Market="All markets",A38=Sel_Market),COUNTIFS(Control!$B$11:$B$13,B38,Control!$C$11:$C$13,"Yes")&gt;0),1,0))</f>
        <v/>
      </c>
      <c r="M38" s="21">
        <f>IF(L38=1,IF(J38="CY",H38,K38),"")</f>
        <v/>
      </c>
      <c r="N38" s="21">
        <f>IF(L38=1,IF(J38="PY",H38,K38),"")</f>
        <v/>
      </c>
      <c r="O38" s="23">
        <f>IF(L38=1,IF(J38="PY",F38*M38/N38,F38),0)</f>
        <v/>
      </c>
      <c r="P38" s="23">
        <f>IF(L38=1,IF(J38="PY",G38*M38/N38,G38),0)</f>
        <v/>
      </c>
      <c r="Q38" s="23">
        <f>IF(AND(L38=1,J38="PY"),F38*(N38-M38)/N38,0)</f>
        <v/>
      </c>
      <c r="R38" s="23">
        <f>IF(AND(L38=1,J38="PY"),G38*(N38-M38)/N38,0)</f>
        <v/>
      </c>
      <c r="S38" s="21">
        <f>IF(COUNTA(A38:G38)=0,"",IF(OR(A38="",B38="",NOT(ISNUMBER(C38))),"Fill market, product and year",IF(COUNTIF(Control!$B$11:$B$13,B38)=0,"Unknown product",IF(COUNTIFS(Dat_A,A38,Dat_B,B38,Dat_C,C38)&gt;1,"Duplicate market/product/year",IF(OR(NOT(ISNUMBER(D38)),NOT(ISNUMBER(E38))),"Add launch date and Data through date",IF(E38&lt;D38,"Data through is before launch",IF(OR(NOT(ISNUMBER(F38)),NOT(ISNUMBER(G38))),"Add units and revenue","OK")))))))</f>
        <v/>
      </c>
    </row>
    <row r="39">
      <c r="A39" s="17" t="n"/>
      <c r="B39" s="17" t="n"/>
      <c r="C39" s="17" t="n"/>
      <c r="D39" s="18" t="n"/>
      <c r="E39" s="18" t="n"/>
      <c r="F39" s="19" t="n"/>
      <c r="G39" s="20" t="n"/>
      <c r="H39" s="21">
        <f>IF(AND(ISNUMBER(D39),ISNUMBER(E39)),E39-D39+1,"")</f>
        <v/>
      </c>
      <c r="I39" s="22">
        <f>IF(AND(ISNUMBER(F39),N(F39)&gt;0,ISNUMBER(G39)),G39/F39,"")</f>
        <v/>
      </c>
      <c r="J39" s="21">
        <f>IF(OR(A39="",B39=""),"",IF(C39=Yr_Cur,"CY",IF(C39=Yr_Prev,"PY","")))</f>
        <v/>
      </c>
      <c r="K39" s="21">
        <f>IF(J39="","",IF(J39="CY",SUMIFS(Dat_H,Dat_A,A39,Dat_B,B39,Dat_C,Yr_Prev),SUMIFS(Dat_H,Dat_A,A39,Dat_B,B39,Dat_C,Yr_Cur)))</f>
        <v/>
      </c>
      <c r="L39" s="21">
        <f>IF(J39="",0,IF(AND(ISNUMBER(H39),N(K39)&gt;0,ISNUMBER(F39),ISNUMBER(G39),OR(Sel_Market="All markets",A39=Sel_Market),COUNTIFS(Control!$B$11:$B$13,B39,Control!$C$11:$C$13,"Yes")&gt;0),1,0))</f>
        <v/>
      </c>
      <c r="M39" s="21">
        <f>IF(L39=1,IF(J39="CY",H39,K39),"")</f>
        <v/>
      </c>
      <c r="N39" s="21">
        <f>IF(L39=1,IF(J39="PY",H39,K39),"")</f>
        <v/>
      </c>
      <c r="O39" s="23">
        <f>IF(L39=1,IF(J39="PY",F39*M39/N39,F39),0)</f>
        <v/>
      </c>
      <c r="P39" s="23">
        <f>IF(L39=1,IF(J39="PY",G39*M39/N39,G39),0)</f>
        <v/>
      </c>
      <c r="Q39" s="23">
        <f>IF(AND(L39=1,J39="PY"),F39*(N39-M39)/N39,0)</f>
        <v/>
      </c>
      <c r="R39" s="23">
        <f>IF(AND(L39=1,J39="PY"),G39*(N39-M39)/N39,0)</f>
        <v/>
      </c>
      <c r="S39" s="21">
        <f>IF(COUNTA(A39:G39)=0,"",IF(OR(A39="",B39="",NOT(ISNUMBER(C39))),"Fill market, product and year",IF(COUNTIF(Control!$B$11:$B$13,B39)=0,"Unknown product",IF(COUNTIFS(Dat_A,A39,Dat_B,B39,Dat_C,C39)&gt;1,"Duplicate market/product/year",IF(OR(NOT(ISNUMBER(D39)),NOT(ISNUMBER(E39))),"Add launch date and Data through date",IF(E39&lt;D39,"Data through is before launch",IF(OR(NOT(ISNUMBER(F39)),NOT(ISNUMBER(G39))),"Add units and revenue","OK")))))))</f>
        <v/>
      </c>
    </row>
    <row r="40">
      <c r="A40" s="17" t="n"/>
      <c r="B40" s="17" t="n"/>
      <c r="C40" s="17" t="n"/>
      <c r="D40" s="18" t="n"/>
      <c r="E40" s="18" t="n"/>
      <c r="F40" s="19" t="n"/>
      <c r="G40" s="20" t="n"/>
      <c r="H40" s="21">
        <f>IF(AND(ISNUMBER(D40),ISNUMBER(E40)),E40-D40+1,"")</f>
        <v/>
      </c>
      <c r="I40" s="22">
        <f>IF(AND(ISNUMBER(F40),N(F40)&gt;0,ISNUMBER(G40)),G40/F40,"")</f>
        <v/>
      </c>
      <c r="J40" s="21">
        <f>IF(OR(A40="",B40=""),"",IF(C40=Yr_Cur,"CY",IF(C40=Yr_Prev,"PY","")))</f>
        <v/>
      </c>
      <c r="K40" s="21">
        <f>IF(J40="","",IF(J40="CY",SUMIFS(Dat_H,Dat_A,A40,Dat_B,B40,Dat_C,Yr_Prev),SUMIFS(Dat_H,Dat_A,A40,Dat_B,B40,Dat_C,Yr_Cur)))</f>
        <v/>
      </c>
      <c r="L40" s="21">
        <f>IF(J40="",0,IF(AND(ISNUMBER(H40),N(K40)&gt;0,ISNUMBER(F40),ISNUMBER(G40),OR(Sel_Market="All markets",A40=Sel_Market),COUNTIFS(Control!$B$11:$B$13,B40,Control!$C$11:$C$13,"Yes")&gt;0),1,0))</f>
        <v/>
      </c>
      <c r="M40" s="21">
        <f>IF(L40=1,IF(J40="CY",H40,K40),"")</f>
        <v/>
      </c>
      <c r="N40" s="21">
        <f>IF(L40=1,IF(J40="PY",H40,K40),"")</f>
        <v/>
      </c>
      <c r="O40" s="23">
        <f>IF(L40=1,IF(J40="PY",F40*M40/N40,F40),0)</f>
        <v/>
      </c>
      <c r="P40" s="23">
        <f>IF(L40=1,IF(J40="PY",G40*M40/N40,G40),0)</f>
        <v/>
      </c>
      <c r="Q40" s="23">
        <f>IF(AND(L40=1,J40="PY"),F40*(N40-M40)/N40,0)</f>
        <v/>
      </c>
      <c r="R40" s="23">
        <f>IF(AND(L40=1,J40="PY"),G40*(N40-M40)/N40,0)</f>
        <v/>
      </c>
      <c r="S40" s="21">
        <f>IF(COUNTA(A40:G40)=0,"",IF(OR(A40="",B40="",NOT(ISNUMBER(C40))),"Fill market, product and year",IF(COUNTIF(Control!$B$11:$B$13,B40)=0,"Unknown product",IF(COUNTIFS(Dat_A,A40,Dat_B,B40,Dat_C,C40)&gt;1,"Duplicate market/product/year",IF(OR(NOT(ISNUMBER(D40)),NOT(ISNUMBER(E40))),"Add launch date and Data through date",IF(E40&lt;D40,"Data through is before launch",IF(OR(NOT(ISNUMBER(F40)),NOT(ISNUMBER(G40))),"Add units and revenue","OK")))))))</f>
        <v/>
      </c>
    </row>
    <row r="41">
      <c r="A41" s="17" t="n"/>
      <c r="B41" s="17" t="n"/>
      <c r="C41" s="17" t="n"/>
      <c r="D41" s="18" t="n"/>
      <c r="E41" s="18" t="n"/>
      <c r="F41" s="19" t="n"/>
      <c r="G41" s="20" t="n"/>
      <c r="H41" s="21">
        <f>IF(AND(ISNUMBER(D41),ISNUMBER(E41)),E41-D41+1,"")</f>
        <v/>
      </c>
      <c r="I41" s="22">
        <f>IF(AND(ISNUMBER(F41),N(F41)&gt;0,ISNUMBER(G41)),G41/F41,"")</f>
        <v/>
      </c>
      <c r="J41" s="21">
        <f>IF(OR(A41="",B41=""),"",IF(C41=Yr_Cur,"CY",IF(C41=Yr_Prev,"PY","")))</f>
        <v/>
      </c>
      <c r="K41" s="21">
        <f>IF(J41="","",IF(J41="CY",SUMIFS(Dat_H,Dat_A,A41,Dat_B,B41,Dat_C,Yr_Prev),SUMIFS(Dat_H,Dat_A,A41,Dat_B,B41,Dat_C,Yr_Cur)))</f>
        <v/>
      </c>
      <c r="L41" s="21">
        <f>IF(J41="",0,IF(AND(ISNUMBER(H41),N(K41)&gt;0,ISNUMBER(F41),ISNUMBER(G41),OR(Sel_Market="All markets",A41=Sel_Market),COUNTIFS(Control!$B$11:$B$13,B41,Control!$C$11:$C$13,"Yes")&gt;0),1,0))</f>
        <v/>
      </c>
      <c r="M41" s="21">
        <f>IF(L41=1,IF(J41="CY",H41,K41),"")</f>
        <v/>
      </c>
      <c r="N41" s="21">
        <f>IF(L41=1,IF(J41="PY",H41,K41),"")</f>
        <v/>
      </c>
      <c r="O41" s="23">
        <f>IF(L41=1,IF(J41="PY",F41*M41/N41,F41),0)</f>
        <v/>
      </c>
      <c r="P41" s="23">
        <f>IF(L41=1,IF(J41="PY",G41*M41/N41,G41),0)</f>
        <v/>
      </c>
      <c r="Q41" s="23">
        <f>IF(AND(L41=1,J41="PY"),F41*(N41-M41)/N41,0)</f>
        <v/>
      </c>
      <c r="R41" s="23">
        <f>IF(AND(L41=1,J41="PY"),G41*(N41-M41)/N41,0)</f>
        <v/>
      </c>
      <c r="S41" s="21">
        <f>IF(COUNTA(A41:G41)=0,"",IF(OR(A41="",B41="",NOT(ISNUMBER(C41))),"Fill market, product and year",IF(COUNTIF(Control!$B$11:$B$13,B41)=0,"Unknown product",IF(COUNTIFS(Dat_A,A41,Dat_B,B41,Dat_C,C41)&gt;1,"Duplicate market/product/year",IF(OR(NOT(ISNUMBER(D41)),NOT(ISNUMBER(E41))),"Add launch date and Data through date",IF(E41&lt;D41,"Data through is before launch",IF(OR(NOT(ISNUMBER(F41)),NOT(ISNUMBER(G41))),"Add units and revenue","OK")))))))</f>
        <v/>
      </c>
    </row>
    <row r="42">
      <c r="A42" s="17" t="n"/>
      <c r="B42" s="17" t="n"/>
      <c r="C42" s="17" t="n"/>
      <c r="D42" s="18" t="n"/>
      <c r="E42" s="18" t="n"/>
      <c r="F42" s="19" t="n"/>
      <c r="G42" s="20" t="n"/>
      <c r="H42" s="21">
        <f>IF(AND(ISNUMBER(D42),ISNUMBER(E42)),E42-D42+1,"")</f>
        <v/>
      </c>
      <c r="I42" s="22">
        <f>IF(AND(ISNUMBER(F42),N(F42)&gt;0,ISNUMBER(G42)),G42/F42,"")</f>
        <v/>
      </c>
      <c r="J42" s="21">
        <f>IF(OR(A42="",B42=""),"",IF(C42=Yr_Cur,"CY",IF(C42=Yr_Prev,"PY","")))</f>
        <v/>
      </c>
      <c r="K42" s="21">
        <f>IF(J42="","",IF(J42="CY",SUMIFS(Dat_H,Dat_A,A42,Dat_B,B42,Dat_C,Yr_Prev),SUMIFS(Dat_H,Dat_A,A42,Dat_B,B42,Dat_C,Yr_Cur)))</f>
        <v/>
      </c>
      <c r="L42" s="21">
        <f>IF(J42="",0,IF(AND(ISNUMBER(H42),N(K42)&gt;0,ISNUMBER(F42),ISNUMBER(G42),OR(Sel_Market="All markets",A42=Sel_Market),COUNTIFS(Control!$B$11:$B$13,B42,Control!$C$11:$C$13,"Yes")&gt;0),1,0))</f>
        <v/>
      </c>
      <c r="M42" s="21">
        <f>IF(L42=1,IF(J42="CY",H42,K42),"")</f>
        <v/>
      </c>
      <c r="N42" s="21">
        <f>IF(L42=1,IF(J42="PY",H42,K42),"")</f>
        <v/>
      </c>
      <c r="O42" s="23">
        <f>IF(L42=1,IF(J42="PY",F42*M42/N42,F42),0)</f>
        <v/>
      </c>
      <c r="P42" s="23">
        <f>IF(L42=1,IF(J42="PY",G42*M42/N42,G42),0)</f>
        <v/>
      </c>
      <c r="Q42" s="23">
        <f>IF(AND(L42=1,J42="PY"),F42*(N42-M42)/N42,0)</f>
        <v/>
      </c>
      <c r="R42" s="23">
        <f>IF(AND(L42=1,J42="PY"),G42*(N42-M42)/N42,0)</f>
        <v/>
      </c>
      <c r="S42" s="21">
        <f>IF(COUNTA(A42:G42)=0,"",IF(OR(A42="",B42="",NOT(ISNUMBER(C42))),"Fill market, product and year",IF(COUNTIF(Control!$B$11:$B$13,B42)=0,"Unknown product",IF(COUNTIFS(Dat_A,A42,Dat_B,B42,Dat_C,C42)&gt;1,"Duplicate market/product/year",IF(OR(NOT(ISNUMBER(D42)),NOT(ISNUMBER(E42))),"Add launch date and Data through date",IF(E42&lt;D42,"Data through is before launch",IF(OR(NOT(ISNUMBER(F42)),NOT(ISNUMBER(G42))),"Add units and revenue","OK")))))))</f>
        <v/>
      </c>
    </row>
    <row r="43">
      <c r="A43" s="17" t="n"/>
      <c r="B43" s="17" t="n"/>
      <c r="C43" s="17" t="n"/>
      <c r="D43" s="18" t="n"/>
      <c r="E43" s="18" t="n"/>
      <c r="F43" s="19" t="n"/>
      <c r="G43" s="20" t="n"/>
      <c r="H43" s="21">
        <f>IF(AND(ISNUMBER(D43),ISNUMBER(E43)),E43-D43+1,"")</f>
        <v/>
      </c>
      <c r="I43" s="22">
        <f>IF(AND(ISNUMBER(F43),N(F43)&gt;0,ISNUMBER(G43)),G43/F43,"")</f>
        <v/>
      </c>
      <c r="J43" s="21">
        <f>IF(OR(A43="",B43=""),"",IF(C43=Yr_Cur,"CY",IF(C43=Yr_Prev,"PY","")))</f>
        <v/>
      </c>
      <c r="K43" s="21">
        <f>IF(J43="","",IF(J43="CY",SUMIFS(Dat_H,Dat_A,A43,Dat_B,B43,Dat_C,Yr_Prev),SUMIFS(Dat_H,Dat_A,A43,Dat_B,B43,Dat_C,Yr_Cur)))</f>
        <v/>
      </c>
      <c r="L43" s="21">
        <f>IF(J43="",0,IF(AND(ISNUMBER(H43),N(K43)&gt;0,ISNUMBER(F43),ISNUMBER(G43),OR(Sel_Market="All markets",A43=Sel_Market),COUNTIFS(Control!$B$11:$B$13,B43,Control!$C$11:$C$13,"Yes")&gt;0),1,0))</f>
        <v/>
      </c>
      <c r="M43" s="21">
        <f>IF(L43=1,IF(J43="CY",H43,K43),"")</f>
        <v/>
      </c>
      <c r="N43" s="21">
        <f>IF(L43=1,IF(J43="PY",H43,K43),"")</f>
        <v/>
      </c>
      <c r="O43" s="23">
        <f>IF(L43=1,IF(J43="PY",F43*M43/N43,F43),0)</f>
        <v/>
      </c>
      <c r="P43" s="23">
        <f>IF(L43=1,IF(J43="PY",G43*M43/N43,G43),0)</f>
        <v/>
      </c>
      <c r="Q43" s="23">
        <f>IF(AND(L43=1,J43="PY"),F43*(N43-M43)/N43,0)</f>
        <v/>
      </c>
      <c r="R43" s="23">
        <f>IF(AND(L43=1,J43="PY"),G43*(N43-M43)/N43,0)</f>
        <v/>
      </c>
      <c r="S43" s="21">
        <f>IF(COUNTA(A43:G43)=0,"",IF(OR(A43="",B43="",NOT(ISNUMBER(C43))),"Fill market, product and year",IF(COUNTIF(Control!$B$11:$B$13,B43)=0,"Unknown product",IF(COUNTIFS(Dat_A,A43,Dat_B,B43,Dat_C,C43)&gt;1,"Duplicate market/product/year",IF(OR(NOT(ISNUMBER(D43)),NOT(ISNUMBER(E43))),"Add launch date and Data through date",IF(E43&lt;D43,"Data through is before launch",IF(OR(NOT(ISNUMBER(F43)),NOT(ISNUMBER(G43))),"Add units and revenue","OK")))))))</f>
        <v/>
      </c>
    </row>
    <row r="44">
      <c r="A44" s="17" t="n"/>
      <c r="B44" s="17" t="n"/>
      <c r="C44" s="17" t="n"/>
      <c r="D44" s="18" t="n"/>
      <c r="E44" s="18" t="n"/>
      <c r="F44" s="19" t="n"/>
      <c r="G44" s="20" t="n"/>
      <c r="H44" s="21">
        <f>IF(AND(ISNUMBER(D44),ISNUMBER(E44)),E44-D44+1,"")</f>
        <v/>
      </c>
      <c r="I44" s="22">
        <f>IF(AND(ISNUMBER(F44),N(F44)&gt;0,ISNUMBER(G44)),G44/F44,"")</f>
        <v/>
      </c>
      <c r="J44" s="21">
        <f>IF(OR(A44="",B44=""),"",IF(C44=Yr_Cur,"CY",IF(C44=Yr_Prev,"PY","")))</f>
        <v/>
      </c>
      <c r="K44" s="21">
        <f>IF(J44="","",IF(J44="CY",SUMIFS(Dat_H,Dat_A,A44,Dat_B,B44,Dat_C,Yr_Prev),SUMIFS(Dat_H,Dat_A,A44,Dat_B,B44,Dat_C,Yr_Cur)))</f>
        <v/>
      </c>
      <c r="L44" s="21">
        <f>IF(J44="",0,IF(AND(ISNUMBER(H44),N(K44)&gt;0,ISNUMBER(F44),ISNUMBER(G44),OR(Sel_Market="All markets",A44=Sel_Market),COUNTIFS(Control!$B$11:$B$13,B44,Control!$C$11:$C$13,"Yes")&gt;0),1,0))</f>
        <v/>
      </c>
      <c r="M44" s="21">
        <f>IF(L44=1,IF(J44="CY",H44,K44),"")</f>
        <v/>
      </c>
      <c r="N44" s="21">
        <f>IF(L44=1,IF(J44="PY",H44,K44),"")</f>
        <v/>
      </c>
      <c r="O44" s="23">
        <f>IF(L44=1,IF(J44="PY",F44*M44/N44,F44),0)</f>
        <v/>
      </c>
      <c r="P44" s="23">
        <f>IF(L44=1,IF(J44="PY",G44*M44/N44,G44),0)</f>
        <v/>
      </c>
      <c r="Q44" s="23">
        <f>IF(AND(L44=1,J44="PY"),F44*(N44-M44)/N44,0)</f>
        <v/>
      </c>
      <c r="R44" s="23">
        <f>IF(AND(L44=1,J44="PY"),G44*(N44-M44)/N44,0)</f>
        <v/>
      </c>
      <c r="S44" s="21">
        <f>IF(COUNTA(A44:G44)=0,"",IF(OR(A44="",B44="",NOT(ISNUMBER(C44))),"Fill market, product and year",IF(COUNTIF(Control!$B$11:$B$13,B44)=0,"Unknown product",IF(COUNTIFS(Dat_A,A44,Dat_B,B44,Dat_C,C44)&gt;1,"Duplicate market/product/year",IF(OR(NOT(ISNUMBER(D44)),NOT(ISNUMBER(E44))),"Add launch date and Data through date",IF(E44&lt;D44,"Data through is before launch",IF(OR(NOT(ISNUMBER(F44)),NOT(ISNUMBER(G44))),"Add units and revenue","OK")))))))</f>
        <v/>
      </c>
    </row>
    <row r="45">
      <c r="A45" s="17" t="n"/>
      <c r="B45" s="17" t="n"/>
      <c r="C45" s="17" t="n"/>
      <c r="D45" s="18" t="n"/>
      <c r="E45" s="18" t="n"/>
      <c r="F45" s="19" t="n"/>
      <c r="G45" s="20" t="n"/>
      <c r="H45" s="21">
        <f>IF(AND(ISNUMBER(D45),ISNUMBER(E45)),E45-D45+1,"")</f>
        <v/>
      </c>
      <c r="I45" s="22">
        <f>IF(AND(ISNUMBER(F45),N(F45)&gt;0,ISNUMBER(G45)),G45/F45,"")</f>
        <v/>
      </c>
      <c r="J45" s="21">
        <f>IF(OR(A45="",B45=""),"",IF(C45=Yr_Cur,"CY",IF(C45=Yr_Prev,"PY","")))</f>
        <v/>
      </c>
      <c r="K45" s="21">
        <f>IF(J45="","",IF(J45="CY",SUMIFS(Dat_H,Dat_A,A45,Dat_B,B45,Dat_C,Yr_Prev),SUMIFS(Dat_H,Dat_A,A45,Dat_B,B45,Dat_C,Yr_Cur)))</f>
        <v/>
      </c>
      <c r="L45" s="21">
        <f>IF(J45="",0,IF(AND(ISNUMBER(H45),N(K45)&gt;0,ISNUMBER(F45),ISNUMBER(G45),OR(Sel_Market="All markets",A45=Sel_Market),COUNTIFS(Control!$B$11:$B$13,B45,Control!$C$11:$C$13,"Yes")&gt;0),1,0))</f>
        <v/>
      </c>
      <c r="M45" s="21">
        <f>IF(L45=1,IF(J45="CY",H45,K45),"")</f>
        <v/>
      </c>
      <c r="N45" s="21">
        <f>IF(L45=1,IF(J45="PY",H45,K45),"")</f>
        <v/>
      </c>
      <c r="O45" s="23">
        <f>IF(L45=1,IF(J45="PY",F45*M45/N45,F45),0)</f>
        <v/>
      </c>
      <c r="P45" s="23">
        <f>IF(L45=1,IF(J45="PY",G45*M45/N45,G45),0)</f>
        <v/>
      </c>
      <c r="Q45" s="23">
        <f>IF(AND(L45=1,J45="PY"),F45*(N45-M45)/N45,0)</f>
        <v/>
      </c>
      <c r="R45" s="23">
        <f>IF(AND(L45=1,J45="PY"),G45*(N45-M45)/N45,0)</f>
        <v/>
      </c>
      <c r="S45" s="21">
        <f>IF(COUNTA(A45:G45)=0,"",IF(OR(A45="",B45="",NOT(ISNUMBER(C45))),"Fill market, product and year",IF(COUNTIF(Control!$B$11:$B$13,B45)=0,"Unknown product",IF(COUNTIFS(Dat_A,A45,Dat_B,B45,Dat_C,C45)&gt;1,"Duplicate market/product/year",IF(OR(NOT(ISNUMBER(D45)),NOT(ISNUMBER(E45))),"Add launch date and Data through date",IF(E45&lt;D45,"Data through is before launch",IF(OR(NOT(ISNUMBER(F45)),NOT(ISNUMBER(G45))),"Add units and revenue","OK")))))))</f>
        <v/>
      </c>
    </row>
    <row r="46">
      <c r="A46" s="17" t="n"/>
      <c r="B46" s="17" t="n"/>
      <c r="C46" s="17" t="n"/>
      <c r="D46" s="18" t="n"/>
      <c r="E46" s="18" t="n"/>
      <c r="F46" s="19" t="n"/>
      <c r="G46" s="20" t="n"/>
      <c r="H46" s="21">
        <f>IF(AND(ISNUMBER(D46),ISNUMBER(E46)),E46-D46+1,"")</f>
        <v/>
      </c>
      <c r="I46" s="22">
        <f>IF(AND(ISNUMBER(F46),N(F46)&gt;0,ISNUMBER(G46)),G46/F46,"")</f>
        <v/>
      </c>
      <c r="J46" s="21">
        <f>IF(OR(A46="",B46=""),"",IF(C46=Yr_Cur,"CY",IF(C46=Yr_Prev,"PY","")))</f>
        <v/>
      </c>
      <c r="K46" s="21">
        <f>IF(J46="","",IF(J46="CY",SUMIFS(Dat_H,Dat_A,A46,Dat_B,B46,Dat_C,Yr_Prev),SUMIFS(Dat_H,Dat_A,A46,Dat_B,B46,Dat_C,Yr_Cur)))</f>
        <v/>
      </c>
      <c r="L46" s="21">
        <f>IF(J46="",0,IF(AND(ISNUMBER(H46),N(K46)&gt;0,ISNUMBER(F46),ISNUMBER(G46),OR(Sel_Market="All markets",A46=Sel_Market),COUNTIFS(Control!$B$11:$B$13,B46,Control!$C$11:$C$13,"Yes")&gt;0),1,0))</f>
        <v/>
      </c>
      <c r="M46" s="21">
        <f>IF(L46=1,IF(J46="CY",H46,K46),"")</f>
        <v/>
      </c>
      <c r="N46" s="21">
        <f>IF(L46=1,IF(J46="PY",H46,K46),"")</f>
        <v/>
      </c>
      <c r="O46" s="23">
        <f>IF(L46=1,IF(J46="PY",F46*M46/N46,F46),0)</f>
        <v/>
      </c>
      <c r="P46" s="23">
        <f>IF(L46=1,IF(J46="PY",G46*M46/N46,G46),0)</f>
        <v/>
      </c>
      <c r="Q46" s="23">
        <f>IF(AND(L46=1,J46="PY"),F46*(N46-M46)/N46,0)</f>
        <v/>
      </c>
      <c r="R46" s="23">
        <f>IF(AND(L46=1,J46="PY"),G46*(N46-M46)/N46,0)</f>
        <v/>
      </c>
      <c r="S46" s="21">
        <f>IF(COUNTA(A46:G46)=0,"",IF(OR(A46="",B46="",NOT(ISNUMBER(C46))),"Fill market, product and year",IF(COUNTIF(Control!$B$11:$B$13,B46)=0,"Unknown product",IF(COUNTIFS(Dat_A,A46,Dat_B,B46,Dat_C,C46)&gt;1,"Duplicate market/product/year",IF(OR(NOT(ISNUMBER(D46)),NOT(ISNUMBER(E46))),"Add launch date and Data through date",IF(E46&lt;D46,"Data through is before launch",IF(OR(NOT(ISNUMBER(F46)),NOT(ISNUMBER(G46))),"Add units and revenue","OK")))))))</f>
        <v/>
      </c>
    </row>
    <row r="47">
      <c r="A47" s="17" t="n"/>
      <c r="B47" s="17" t="n"/>
      <c r="C47" s="17" t="n"/>
      <c r="D47" s="18" t="n"/>
      <c r="E47" s="18" t="n"/>
      <c r="F47" s="19" t="n"/>
      <c r="G47" s="20" t="n"/>
      <c r="H47" s="21">
        <f>IF(AND(ISNUMBER(D47),ISNUMBER(E47)),E47-D47+1,"")</f>
        <v/>
      </c>
      <c r="I47" s="22">
        <f>IF(AND(ISNUMBER(F47),N(F47)&gt;0,ISNUMBER(G47)),G47/F47,"")</f>
        <v/>
      </c>
      <c r="J47" s="21">
        <f>IF(OR(A47="",B47=""),"",IF(C47=Yr_Cur,"CY",IF(C47=Yr_Prev,"PY","")))</f>
        <v/>
      </c>
      <c r="K47" s="21">
        <f>IF(J47="","",IF(J47="CY",SUMIFS(Dat_H,Dat_A,A47,Dat_B,B47,Dat_C,Yr_Prev),SUMIFS(Dat_H,Dat_A,A47,Dat_B,B47,Dat_C,Yr_Cur)))</f>
        <v/>
      </c>
      <c r="L47" s="21">
        <f>IF(J47="",0,IF(AND(ISNUMBER(H47),N(K47)&gt;0,ISNUMBER(F47),ISNUMBER(G47),OR(Sel_Market="All markets",A47=Sel_Market),COUNTIFS(Control!$B$11:$B$13,B47,Control!$C$11:$C$13,"Yes")&gt;0),1,0))</f>
        <v/>
      </c>
      <c r="M47" s="21">
        <f>IF(L47=1,IF(J47="CY",H47,K47),"")</f>
        <v/>
      </c>
      <c r="N47" s="21">
        <f>IF(L47=1,IF(J47="PY",H47,K47),"")</f>
        <v/>
      </c>
      <c r="O47" s="23">
        <f>IF(L47=1,IF(J47="PY",F47*M47/N47,F47),0)</f>
        <v/>
      </c>
      <c r="P47" s="23">
        <f>IF(L47=1,IF(J47="PY",G47*M47/N47,G47),0)</f>
        <v/>
      </c>
      <c r="Q47" s="23">
        <f>IF(AND(L47=1,J47="PY"),F47*(N47-M47)/N47,0)</f>
        <v/>
      </c>
      <c r="R47" s="23">
        <f>IF(AND(L47=1,J47="PY"),G47*(N47-M47)/N47,0)</f>
        <v/>
      </c>
      <c r="S47" s="21">
        <f>IF(COUNTA(A47:G47)=0,"",IF(OR(A47="",B47="",NOT(ISNUMBER(C47))),"Fill market, product and year",IF(COUNTIF(Control!$B$11:$B$13,B47)=0,"Unknown product",IF(COUNTIFS(Dat_A,A47,Dat_B,B47,Dat_C,C47)&gt;1,"Duplicate market/product/year",IF(OR(NOT(ISNUMBER(D47)),NOT(ISNUMBER(E47))),"Add launch date and Data through date",IF(E47&lt;D47,"Data through is before launch",IF(OR(NOT(ISNUMBER(F47)),NOT(ISNUMBER(G47))),"Add units and revenue","OK")))))))</f>
        <v/>
      </c>
    </row>
    <row r="48">
      <c r="A48" s="17" t="n"/>
      <c r="B48" s="17" t="n"/>
      <c r="C48" s="17" t="n"/>
      <c r="D48" s="18" t="n"/>
      <c r="E48" s="18" t="n"/>
      <c r="F48" s="19" t="n"/>
      <c r="G48" s="20" t="n"/>
      <c r="H48" s="21">
        <f>IF(AND(ISNUMBER(D48),ISNUMBER(E48)),E48-D48+1,"")</f>
        <v/>
      </c>
      <c r="I48" s="22">
        <f>IF(AND(ISNUMBER(F48),N(F48)&gt;0,ISNUMBER(G48)),G48/F48,"")</f>
        <v/>
      </c>
      <c r="J48" s="21">
        <f>IF(OR(A48="",B48=""),"",IF(C48=Yr_Cur,"CY",IF(C48=Yr_Prev,"PY","")))</f>
        <v/>
      </c>
      <c r="K48" s="21">
        <f>IF(J48="","",IF(J48="CY",SUMIFS(Dat_H,Dat_A,A48,Dat_B,B48,Dat_C,Yr_Prev),SUMIFS(Dat_H,Dat_A,A48,Dat_B,B48,Dat_C,Yr_Cur)))</f>
        <v/>
      </c>
      <c r="L48" s="21">
        <f>IF(J48="",0,IF(AND(ISNUMBER(H48),N(K48)&gt;0,ISNUMBER(F48),ISNUMBER(G48),OR(Sel_Market="All markets",A48=Sel_Market),COUNTIFS(Control!$B$11:$B$13,B48,Control!$C$11:$C$13,"Yes")&gt;0),1,0))</f>
        <v/>
      </c>
      <c r="M48" s="21">
        <f>IF(L48=1,IF(J48="CY",H48,K48),"")</f>
        <v/>
      </c>
      <c r="N48" s="21">
        <f>IF(L48=1,IF(J48="PY",H48,K48),"")</f>
        <v/>
      </c>
      <c r="O48" s="23">
        <f>IF(L48=1,IF(J48="PY",F48*M48/N48,F48),0)</f>
        <v/>
      </c>
      <c r="P48" s="23">
        <f>IF(L48=1,IF(J48="PY",G48*M48/N48,G48),0)</f>
        <v/>
      </c>
      <c r="Q48" s="23">
        <f>IF(AND(L48=1,J48="PY"),F48*(N48-M48)/N48,0)</f>
        <v/>
      </c>
      <c r="R48" s="23">
        <f>IF(AND(L48=1,J48="PY"),G48*(N48-M48)/N48,0)</f>
        <v/>
      </c>
      <c r="S48" s="21">
        <f>IF(COUNTA(A48:G48)=0,"",IF(OR(A48="",B48="",NOT(ISNUMBER(C48))),"Fill market, product and year",IF(COUNTIF(Control!$B$11:$B$13,B48)=0,"Unknown product",IF(COUNTIFS(Dat_A,A48,Dat_B,B48,Dat_C,C48)&gt;1,"Duplicate market/product/year",IF(OR(NOT(ISNUMBER(D48)),NOT(ISNUMBER(E48))),"Add launch date and Data through date",IF(E48&lt;D48,"Data through is before launch",IF(OR(NOT(ISNUMBER(F48)),NOT(ISNUMBER(G48))),"Add units and revenue","OK")))))))</f>
        <v/>
      </c>
    </row>
    <row r="49">
      <c r="A49" s="17" t="n"/>
      <c r="B49" s="17" t="n"/>
      <c r="C49" s="17" t="n"/>
      <c r="D49" s="18" t="n"/>
      <c r="E49" s="18" t="n"/>
      <c r="F49" s="19" t="n"/>
      <c r="G49" s="20" t="n"/>
      <c r="H49" s="21">
        <f>IF(AND(ISNUMBER(D49),ISNUMBER(E49)),E49-D49+1,"")</f>
        <v/>
      </c>
      <c r="I49" s="22">
        <f>IF(AND(ISNUMBER(F49),N(F49)&gt;0,ISNUMBER(G49)),G49/F49,"")</f>
        <v/>
      </c>
      <c r="J49" s="21">
        <f>IF(OR(A49="",B49=""),"",IF(C49=Yr_Cur,"CY",IF(C49=Yr_Prev,"PY","")))</f>
        <v/>
      </c>
      <c r="K49" s="21">
        <f>IF(J49="","",IF(J49="CY",SUMIFS(Dat_H,Dat_A,A49,Dat_B,B49,Dat_C,Yr_Prev),SUMIFS(Dat_H,Dat_A,A49,Dat_B,B49,Dat_C,Yr_Cur)))</f>
        <v/>
      </c>
      <c r="L49" s="21">
        <f>IF(J49="",0,IF(AND(ISNUMBER(H49),N(K49)&gt;0,ISNUMBER(F49),ISNUMBER(G49),OR(Sel_Market="All markets",A49=Sel_Market),COUNTIFS(Control!$B$11:$B$13,B49,Control!$C$11:$C$13,"Yes")&gt;0),1,0))</f>
        <v/>
      </c>
      <c r="M49" s="21">
        <f>IF(L49=1,IF(J49="CY",H49,K49),"")</f>
        <v/>
      </c>
      <c r="N49" s="21">
        <f>IF(L49=1,IF(J49="PY",H49,K49),"")</f>
        <v/>
      </c>
      <c r="O49" s="23">
        <f>IF(L49=1,IF(J49="PY",F49*M49/N49,F49),0)</f>
        <v/>
      </c>
      <c r="P49" s="23">
        <f>IF(L49=1,IF(J49="PY",G49*M49/N49,G49),0)</f>
        <v/>
      </c>
      <c r="Q49" s="23">
        <f>IF(AND(L49=1,J49="PY"),F49*(N49-M49)/N49,0)</f>
        <v/>
      </c>
      <c r="R49" s="23">
        <f>IF(AND(L49=1,J49="PY"),G49*(N49-M49)/N49,0)</f>
        <v/>
      </c>
      <c r="S49" s="21">
        <f>IF(COUNTA(A49:G49)=0,"",IF(OR(A49="",B49="",NOT(ISNUMBER(C49))),"Fill market, product and year",IF(COUNTIF(Control!$B$11:$B$13,B49)=0,"Unknown product",IF(COUNTIFS(Dat_A,A49,Dat_B,B49,Dat_C,C49)&gt;1,"Duplicate market/product/year",IF(OR(NOT(ISNUMBER(D49)),NOT(ISNUMBER(E49))),"Add launch date and Data through date",IF(E49&lt;D49,"Data through is before launch",IF(OR(NOT(ISNUMBER(F49)),NOT(ISNUMBER(G49))),"Add units and revenue","OK")))))))</f>
        <v/>
      </c>
    </row>
    <row r="50">
      <c r="A50" s="17" t="n"/>
      <c r="B50" s="17" t="n"/>
      <c r="C50" s="17" t="n"/>
      <c r="D50" s="18" t="n"/>
      <c r="E50" s="18" t="n"/>
      <c r="F50" s="19" t="n"/>
      <c r="G50" s="20" t="n"/>
      <c r="H50" s="21">
        <f>IF(AND(ISNUMBER(D50),ISNUMBER(E50)),E50-D50+1,"")</f>
        <v/>
      </c>
      <c r="I50" s="22">
        <f>IF(AND(ISNUMBER(F50),N(F50)&gt;0,ISNUMBER(G50)),G50/F50,"")</f>
        <v/>
      </c>
      <c r="J50" s="21">
        <f>IF(OR(A50="",B50=""),"",IF(C50=Yr_Cur,"CY",IF(C50=Yr_Prev,"PY","")))</f>
        <v/>
      </c>
      <c r="K50" s="21">
        <f>IF(J50="","",IF(J50="CY",SUMIFS(Dat_H,Dat_A,A50,Dat_B,B50,Dat_C,Yr_Prev),SUMIFS(Dat_H,Dat_A,A50,Dat_B,B50,Dat_C,Yr_Cur)))</f>
        <v/>
      </c>
      <c r="L50" s="21">
        <f>IF(J50="",0,IF(AND(ISNUMBER(H50),N(K50)&gt;0,ISNUMBER(F50),ISNUMBER(G50),OR(Sel_Market="All markets",A50=Sel_Market),COUNTIFS(Control!$B$11:$B$13,B50,Control!$C$11:$C$13,"Yes")&gt;0),1,0))</f>
        <v/>
      </c>
      <c r="M50" s="21">
        <f>IF(L50=1,IF(J50="CY",H50,K50),"")</f>
        <v/>
      </c>
      <c r="N50" s="21">
        <f>IF(L50=1,IF(J50="PY",H50,K50),"")</f>
        <v/>
      </c>
      <c r="O50" s="23">
        <f>IF(L50=1,IF(J50="PY",F50*M50/N50,F50),0)</f>
        <v/>
      </c>
      <c r="P50" s="23">
        <f>IF(L50=1,IF(J50="PY",G50*M50/N50,G50),0)</f>
        <v/>
      </c>
      <c r="Q50" s="23">
        <f>IF(AND(L50=1,J50="PY"),F50*(N50-M50)/N50,0)</f>
        <v/>
      </c>
      <c r="R50" s="23">
        <f>IF(AND(L50=1,J50="PY"),G50*(N50-M50)/N50,0)</f>
        <v/>
      </c>
      <c r="S50" s="21">
        <f>IF(COUNTA(A50:G50)=0,"",IF(OR(A50="",B50="",NOT(ISNUMBER(C50))),"Fill market, product and year",IF(COUNTIF(Control!$B$11:$B$13,B50)=0,"Unknown product",IF(COUNTIFS(Dat_A,A50,Dat_B,B50,Dat_C,C50)&gt;1,"Duplicate market/product/year",IF(OR(NOT(ISNUMBER(D50)),NOT(ISNUMBER(E50))),"Add launch date and Data through date",IF(E50&lt;D50,"Data through is before launch",IF(OR(NOT(ISNUMBER(F50)),NOT(ISNUMBER(G50))),"Add units and revenue","OK")))))))</f>
        <v/>
      </c>
    </row>
    <row r="51">
      <c r="A51" s="17" t="n"/>
      <c r="B51" s="17" t="n"/>
      <c r="C51" s="17" t="n"/>
      <c r="D51" s="18" t="n"/>
      <c r="E51" s="18" t="n"/>
      <c r="F51" s="19" t="n"/>
      <c r="G51" s="20" t="n"/>
      <c r="H51" s="21">
        <f>IF(AND(ISNUMBER(D51),ISNUMBER(E51)),E51-D51+1,"")</f>
        <v/>
      </c>
      <c r="I51" s="22">
        <f>IF(AND(ISNUMBER(F51),N(F51)&gt;0,ISNUMBER(G51)),G51/F51,"")</f>
        <v/>
      </c>
      <c r="J51" s="21">
        <f>IF(OR(A51="",B51=""),"",IF(C51=Yr_Cur,"CY",IF(C51=Yr_Prev,"PY","")))</f>
        <v/>
      </c>
      <c r="K51" s="21">
        <f>IF(J51="","",IF(J51="CY",SUMIFS(Dat_H,Dat_A,A51,Dat_B,B51,Dat_C,Yr_Prev),SUMIFS(Dat_H,Dat_A,A51,Dat_B,B51,Dat_C,Yr_Cur)))</f>
        <v/>
      </c>
      <c r="L51" s="21">
        <f>IF(J51="",0,IF(AND(ISNUMBER(H51),N(K51)&gt;0,ISNUMBER(F51),ISNUMBER(G51),OR(Sel_Market="All markets",A51=Sel_Market),COUNTIFS(Control!$B$11:$B$13,B51,Control!$C$11:$C$13,"Yes")&gt;0),1,0))</f>
        <v/>
      </c>
      <c r="M51" s="21">
        <f>IF(L51=1,IF(J51="CY",H51,K51),"")</f>
        <v/>
      </c>
      <c r="N51" s="21">
        <f>IF(L51=1,IF(J51="PY",H51,K51),"")</f>
        <v/>
      </c>
      <c r="O51" s="23">
        <f>IF(L51=1,IF(J51="PY",F51*M51/N51,F51),0)</f>
        <v/>
      </c>
      <c r="P51" s="23">
        <f>IF(L51=1,IF(J51="PY",G51*M51/N51,G51),0)</f>
        <v/>
      </c>
      <c r="Q51" s="23">
        <f>IF(AND(L51=1,J51="PY"),F51*(N51-M51)/N51,0)</f>
        <v/>
      </c>
      <c r="R51" s="23">
        <f>IF(AND(L51=1,J51="PY"),G51*(N51-M51)/N51,0)</f>
        <v/>
      </c>
      <c r="S51" s="21">
        <f>IF(COUNTA(A51:G51)=0,"",IF(OR(A51="",B51="",NOT(ISNUMBER(C51))),"Fill market, product and year",IF(COUNTIF(Control!$B$11:$B$13,B51)=0,"Unknown product",IF(COUNTIFS(Dat_A,A51,Dat_B,B51,Dat_C,C51)&gt;1,"Duplicate market/product/year",IF(OR(NOT(ISNUMBER(D51)),NOT(ISNUMBER(E51))),"Add launch date and Data through date",IF(E51&lt;D51,"Data through is before launch",IF(OR(NOT(ISNUMBER(F51)),NOT(ISNUMBER(G51))),"Add units and revenue","OK")))))))</f>
        <v/>
      </c>
    </row>
    <row r="52">
      <c r="A52" s="17" t="n"/>
      <c r="B52" s="17" t="n"/>
      <c r="C52" s="17" t="n"/>
      <c r="D52" s="18" t="n"/>
      <c r="E52" s="18" t="n"/>
      <c r="F52" s="19" t="n"/>
      <c r="G52" s="20" t="n"/>
      <c r="H52" s="21">
        <f>IF(AND(ISNUMBER(D52),ISNUMBER(E52)),E52-D52+1,"")</f>
        <v/>
      </c>
      <c r="I52" s="22">
        <f>IF(AND(ISNUMBER(F52),N(F52)&gt;0,ISNUMBER(G52)),G52/F52,"")</f>
        <v/>
      </c>
      <c r="J52" s="21">
        <f>IF(OR(A52="",B52=""),"",IF(C52=Yr_Cur,"CY",IF(C52=Yr_Prev,"PY","")))</f>
        <v/>
      </c>
      <c r="K52" s="21">
        <f>IF(J52="","",IF(J52="CY",SUMIFS(Dat_H,Dat_A,A52,Dat_B,B52,Dat_C,Yr_Prev),SUMIFS(Dat_H,Dat_A,A52,Dat_B,B52,Dat_C,Yr_Cur)))</f>
        <v/>
      </c>
      <c r="L52" s="21">
        <f>IF(J52="",0,IF(AND(ISNUMBER(H52),N(K52)&gt;0,ISNUMBER(F52),ISNUMBER(G52),OR(Sel_Market="All markets",A52=Sel_Market),COUNTIFS(Control!$B$11:$B$13,B52,Control!$C$11:$C$13,"Yes")&gt;0),1,0))</f>
        <v/>
      </c>
      <c r="M52" s="21">
        <f>IF(L52=1,IF(J52="CY",H52,K52),"")</f>
        <v/>
      </c>
      <c r="N52" s="21">
        <f>IF(L52=1,IF(J52="PY",H52,K52),"")</f>
        <v/>
      </c>
      <c r="O52" s="23">
        <f>IF(L52=1,IF(J52="PY",F52*M52/N52,F52),0)</f>
        <v/>
      </c>
      <c r="P52" s="23">
        <f>IF(L52=1,IF(J52="PY",G52*M52/N52,G52),0)</f>
        <v/>
      </c>
      <c r="Q52" s="23">
        <f>IF(AND(L52=1,J52="PY"),F52*(N52-M52)/N52,0)</f>
        <v/>
      </c>
      <c r="R52" s="23">
        <f>IF(AND(L52=1,J52="PY"),G52*(N52-M52)/N52,0)</f>
        <v/>
      </c>
      <c r="S52" s="21">
        <f>IF(COUNTA(A52:G52)=0,"",IF(OR(A52="",B52="",NOT(ISNUMBER(C52))),"Fill market, product and year",IF(COUNTIF(Control!$B$11:$B$13,B52)=0,"Unknown product",IF(COUNTIFS(Dat_A,A52,Dat_B,B52,Dat_C,C52)&gt;1,"Duplicate market/product/year",IF(OR(NOT(ISNUMBER(D52)),NOT(ISNUMBER(E52))),"Add launch date and Data through date",IF(E52&lt;D52,"Data through is before launch",IF(OR(NOT(ISNUMBER(F52)),NOT(ISNUMBER(G52))),"Add units and revenue","OK")))))))</f>
        <v/>
      </c>
    </row>
    <row r="53">
      <c r="A53" s="17" t="n"/>
      <c r="B53" s="17" t="n"/>
      <c r="C53" s="17" t="n"/>
      <c r="D53" s="18" t="n"/>
      <c r="E53" s="18" t="n"/>
      <c r="F53" s="19" t="n"/>
      <c r="G53" s="20" t="n"/>
      <c r="H53" s="21">
        <f>IF(AND(ISNUMBER(D53),ISNUMBER(E53)),E53-D53+1,"")</f>
        <v/>
      </c>
      <c r="I53" s="22">
        <f>IF(AND(ISNUMBER(F53),N(F53)&gt;0,ISNUMBER(G53)),G53/F53,"")</f>
        <v/>
      </c>
      <c r="J53" s="21">
        <f>IF(OR(A53="",B53=""),"",IF(C53=Yr_Cur,"CY",IF(C53=Yr_Prev,"PY","")))</f>
        <v/>
      </c>
      <c r="K53" s="21">
        <f>IF(J53="","",IF(J53="CY",SUMIFS(Dat_H,Dat_A,A53,Dat_B,B53,Dat_C,Yr_Prev),SUMIFS(Dat_H,Dat_A,A53,Dat_B,B53,Dat_C,Yr_Cur)))</f>
        <v/>
      </c>
      <c r="L53" s="21">
        <f>IF(J53="",0,IF(AND(ISNUMBER(H53),N(K53)&gt;0,ISNUMBER(F53),ISNUMBER(G53),OR(Sel_Market="All markets",A53=Sel_Market),COUNTIFS(Control!$B$11:$B$13,B53,Control!$C$11:$C$13,"Yes")&gt;0),1,0))</f>
        <v/>
      </c>
      <c r="M53" s="21">
        <f>IF(L53=1,IF(J53="CY",H53,K53),"")</f>
        <v/>
      </c>
      <c r="N53" s="21">
        <f>IF(L53=1,IF(J53="PY",H53,K53),"")</f>
        <v/>
      </c>
      <c r="O53" s="23">
        <f>IF(L53=1,IF(J53="PY",F53*M53/N53,F53),0)</f>
        <v/>
      </c>
      <c r="P53" s="23">
        <f>IF(L53=1,IF(J53="PY",G53*M53/N53,G53),0)</f>
        <v/>
      </c>
      <c r="Q53" s="23">
        <f>IF(AND(L53=1,J53="PY"),F53*(N53-M53)/N53,0)</f>
        <v/>
      </c>
      <c r="R53" s="23">
        <f>IF(AND(L53=1,J53="PY"),G53*(N53-M53)/N53,0)</f>
        <v/>
      </c>
      <c r="S53" s="21">
        <f>IF(COUNTA(A53:G53)=0,"",IF(OR(A53="",B53="",NOT(ISNUMBER(C53))),"Fill market, product and year",IF(COUNTIF(Control!$B$11:$B$13,B53)=0,"Unknown product",IF(COUNTIFS(Dat_A,A53,Dat_B,B53,Dat_C,C53)&gt;1,"Duplicate market/product/year",IF(OR(NOT(ISNUMBER(D53)),NOT(ISNUMBER(E53))),"Add launch date and Data through date",IF(E53&lt;D53,"Data through is before launch",IF(OR(NOT(ISNUMBER(F53)),NOT(ISNUMBER(G53))),"Add units and revenue","OK")))))))</f>
        <v/>
      </c>
    </row>
    <row r="54">
      <c r="A54" s="17" t="n"/>
      <c r="B54" s="17" t="n"/>
      <c r="C54" s="17" t="n"/>
      <c r="D54" s="18" t="n"/>
      <c r="E54" s="18" t="n"/>
      <c r="F54" s="19" t="n"/>
      <c r="G54" s="20" t="n"/>
      <c r="H54" s="21">
        <f>IF(AND(ISNUMBER(D54),ISNUMBER(E54)),E54-D54+1,"")</f>
        <v/>
      </c>
      <c r="I54" s="22">
        <f>IF(AND(ISNUMBER(F54),N(F54)&gt;0,ISNUMBER(G54)),G54/F54,"")</f>
        <v/>
      </c>
      <c r="J54" s="21">
        <f>IF(OR(A54="",B54=""),"",IF(C54=Yr_Cur,"CY",IF(C54=Yr_Prev,"PY","")))</f>
        <v/>
      </c>
      <c r="K54" s="21">
        <f>IF(J54="","",IF(J54="CY",SUMIFS(Dat_H,Dat_A,A54,Dat_B,B54,Dat_C,Yr_Prev),SUMIFS(Dat_H,Dat_A,A54,Dat_B,B54,Dat_C,Yr_Cur)))</f>
        <v/>
      </c>
      <c r="L54" s="21">
        <f>IF(J54="",0,IF(AND(ISNUMBER(H54),N(K54)&gt;0,ISNUMBER(F54),ISNUMBER(G54),OR(Sel_Market="All markets",A54=Sel_Market),COUNTIFS(Control!$B$11:$B$13,B54,Control!$C$11:$C$13,"Yes")&gt;0),1,0))</f>
        <v/>
      </c>
      <c r="M54" s="21">
        <f>IF(L54=1,IF(J54="CY",H54,K54),"")</f>
        <v/>
      </c>
      <c r="N54" s="21">
        <f>IF(L54=1,IF(J54="PY",H54,K54),"")</f>
        <v/>
      </c>
      <c r="O54" s="23">
        <f>IF(L54=1,IF(J54="PY",F54*M54/N54,F54),0)</f>
        <v/>
      </c>
      <c r="P54" s="23">
        <f>IF(L54=1,IF(J54="PY",G54*M54/N54,G54),0)</f>
        <v/>
      </c>
      <c r="Q54" s="23">
        <f>IF(AND(L54=1,J54="PY"),F54*(N54-M54)/N54,0)</f>
        <v/>
      </c>
      <c r="R54" s="23">
        <f>IF(AND(L54=1,J54="PY"),G54*(N54-M54)/N54,0)</f>
        <v/>
      </c>
      <c r="S54" s="21">
        <f>IF(COUNTA(A54:G54)=0,"",IF(OR(A54="",B54="",NOT(ISNUMBER(C54))),"Fill market, product and year",IF(COUNTIF(Control!$B$11:$B$13,B54)=0,"Unknown product",IF(COUNTIFS(Dat_A,A54,Dat_B,B54,Dat_C,C54)&gt;1,"Duplicate market/product/year",IF(OR(NOT(ISNUMBER(D54)),NOT(ISNUMBER(E54))),"Add launch date and Data through date",IF(E54&lt;D54,"Data through is before launch",IF(OR(NOT(ISNUMBER(F54)),NOT(ISNUMBER(G54))),"Add units and revenue","OK")))))))</f>
        <v/>
      </c>
    </row>
    <row r="55">
      <c r="A55" s="17" t="n"/>
      <c r="B55" s="17" t="n"/>
      <c r="C55" s="17" t="n"/>
      <c r="D55" s="18" t="n"/>
      <c r="E55" s="18" t="n"/>
      <c r="F55" s="19" t="n"/>
      <c r="G55" s="20" t="n"/>
      <c r="H55" s="21">
        <f>IF(AND(ISNUMBER(D55),ISNUMBER(E55)),E55-D55+1,"")</f>
        <v/>
      </c>
      <c r="I55" s="22">
        <f>IF(AND(ISNUMBER(F55),N(F55)&gt;0,ISNUMBER(G55)),G55/F55,"")</f>
        <v/>
      </c>
      <c r="J55" s="21">
        <f>IF(OR(A55="",B55=""),"",IF(C55=Yr_Cur,"CY",IF(C55=Yr_Prev,"PY","")))</f>
        <v/>
      </c>
      <c r="K55" s="21">
        <f>IF(J55="","",IF(J55="CY",SUMIFS(Dat_H,Dat_A,A55,Dat_B,B55,Dat_C,Yr_Prev),SUMIFS(Dat_H,Dat_A,A55,Dat_B,B55,Dat_C,Yr_Cur)))</f>
        <v/>
      </c>
      <c r="L55" s="21">
        <f>IF(J55="",0,IF(AND(ISNUMBER(H55),N(K55)&gt;0,ISNUMBER(F55),ISNUMBER(G55),OR(Sel_Market="All markets",A55=Sel_Market),COUNTIFS(Control!$B$11:$B$13,B55,Control!$C$11:$C$13,"Yes")&gt;0),1,0))</f>
        <v/>
      </c>
      <c r="M55" s="21">
        <f>IF(L55=1,IF(J55="CY",H55,K55),"")</f>
        <v/>
      </c>
      <c r="N55" s="21">
        <f>IF(L55=1,IF(J55="PY",H55,K55),"")</f>
        <v/>
      </c>
      <c r="O55" s="23">
        <f>IF(L55=1,IF(J55="PY",F55*M55/N55,F55),0)</f>
        <v/>
      </c>
      <c r="P55" s="23">
        <f>IF(L55=1,IF(J55="PY",G55*M55/N55,G55),0)</f>
        <v/>
      </c>
      <c r="Q55" s="23">
        <f>IF(AND(L55=1,J55="PY"),F55*(N55-M55)/N55,0)</f>
        <v/>
      </c>
      <c r="R55" s="23">
        <f>IF(AND(L55=1,J55="PY"),G55*(N55-M55)/N55,0)</f>
        <v/>
      </c>
      <c r="S55" s="21">
        <f>IF(COUNTA(A55:G55)=0,"",IF(OR(A55="",B55="",NOT(ISNUMBER(C55))),"Fill market, product and year",IF(COUNTIF(Control!$B$11:$B$13,B55)=0,"Unknown product",IF(COUNTIFS(Dat_A,A55,Dat_B,B55,Dat_C,C55)&gt;1,"Duplicate market/product/year",IF(OR(NOT(ISNUMBER(D55)),NOT(ISNUMBER(E55))),"Add launch date and Data through date",IF(E55&lt;D55,"Data through is before launch",IF(OR(NOT(ISNUMBER(F55)),NOT(ISNUMBER(G55))),"Add units and revenue","OK")))))))</f>
        <v/>
      </c>
    </row>
    <row r="56">
      <c r="A56" s="17" t="n"/>
      <c r="B56" s="17" t="n"/>
      <c r="C56" s="17" t="n"/>
      <c r="D56" s="18" t="n"/>
      <c r="E56" s="18" t="n"/>
      <c r="F56" s="19" t="n"/>
      <c r="G56" s="20" t="n"/>
      <c r="H56" s="21">
        <f>IF(AND(ISNUMBER(D56),ISNUMBER(E56)),E56-D56+1,"")</f>
        <v/>
      </c>
      <c r="I56" s="22">
        <f>IF(AND(ISNUMBER(F56),N(F56)&gt;0,ISNUMBER(G56)),G56/F56,"")</f>
        <v/>
      </c>
      <c r="J56" s="21">
        <f>IF(OR(A56="",B56=""),"",IF(C56=Yr_Cur,"CY",IF(C56=Yr_Prev,"PY","")))</f>
        <v/>
      </c>
      <c r="K56" s="21">
        <f>IF(J56="","",IF(J56="CY",SUMIFS(Dat_H,Dat_A,A56,Dat_B,B56,Dat_C,Yr_Prev),SUMIFS(Dat_H,Dat_A,A56,Dat_B,B56,Dat_C,Yr_Cur)))</f>
        <v/>
      </c>
      <c r="L56" s="21">
        <f>IF(J56="",0,IF(AND(ISNUMBER(H56),N(K56)&gt;0,ISNUMBER(F56),ISNUMBER(G56),OR(Sel_Market="All markets",A56=Sel_Market),COUNTIFS(Control!$B$11:$B$13,B56,Control!$C$11:$C$13,"Yes")&gt;0),1,0))</f>
        <v/>
      </c>
      <c r="M56" s="21">
        <f>IF(L56=1,IF(J56="CY",H56,K56),"")</f>
        <v/>
      </c>
      <c r="N56" s="21">
        <f>IF(L56=1,IF(J56="PY",H56,K56),"")</f>
        <v/>
      </c>
      <c r="O56" s="23">
        <f>IF(L56=1,IF(J56="PY",F56*M56/N56,F56),0)</f>
        <v/>
      </c>
      <c r="P56" s="23">
        <f>IF(L56=1,IF(J56="PY",G56*M56/N56,G56),0)</f>
        <v/>
      </c>
      <c r="Q56" s="23">
        <f>IF(AND(L56=1,J56="PY"),F56*(N56-M56)/N56,0)</f>
        <v/>
      </c>
      <c r="R56" s="23">
        <f>IF(AND(L56=1,J56="PY"),G56*(N56-M56)/N56,0)</f>
        <v/>
      </c>
      <c r="S56" s="21">
        <f>IF(COUNTA(A56:G56)=0,"",IF(OR(A56="",B56="",NOT(ISNUMBER(C56))),"Fill market, product and year",IF(COUNTIF(Control!$B$11:$B$13,B56)=0,"Unknown product",IF(COUNTIFS(Dat_A,A56,Dat_B,B56,Dat_C,C56)&gt;1,"Duplicate market/product/year",IF(OR(NOT(ISNUMBER(D56)),NOT(ISNUMBER(E56))),"Add launch date and Data through date",IF(E56&lt;D56,"Data through is before launch",IF(OR(NOT(ISNUMBER(F56)),NOT(ISNUMBER(G56))),"Add units and revenue","OK")))))))</f>
        <v/>
      </c>
    </row>
    <row r="57">
      <c r="A57" s="17" t="n"/>
      <c r="B57" s="17" t="n"/>
      <c r="C57" s="17" t="n"/>
      <c r="D57" s="18" t="n"/>
      <c r="E57" s="18" t="n"/>
      <c r="F57" s="19" t="n"/>
      <c r="G57" s="20" t="n"/>
      <c r="H57" s="21">
        <f>IF(AND(ISNUMBER(D57),ISNUMBER(E57)),E57-D57+1,"")</f>
        <v/>
      </c>
      <c r="I57" s="22">
        <f>IF(AND(ISNUMBER(F57),N(F57)&gt;0,ISNUMBER(G57)),G57/F57,"")</f>
        <v/>
      </c>
      <c r="J57" s="21">
        <f>IF(OR(A57="",B57=""),"",IF(C57=Yr_Cur,"CY",IF(C57=Yr_Prev,"PY","")))</f>
        <v/>
      </c>
      <c r="K57" s="21">
        <f>IF(J57="","",IF(J57="CY",SUMIFS(Dat_H,Dat_A,A57,Dat_B,B57,Dat_C,Yr_Prev),SUMIFS(Dat_H,Dat_A,A57,Dat_B,B57,Dat_C,Yr_Cur)))</f>
        <v/>
      </c>
      <c r="L57" s="21">
        <f>IF(J57="",0,IF(AND(ISNUMBER(H57),N(K57)&gt;0,ISNUMBER(F57),ISNUMBER(G57),OR(Sel_Market="All markets",A57=Sel_Market),COUNTIFS(Control!$B$11:$B$13,B57,Control!$C$11:$C$13,"Yes")&gt;0),1,0))</f>
        <v/>
      </c>
      <c r="M57" s="21">
        <f>IF(L57=1,IF(J57="CY",H57,K57),"")</f>
        <v/>
      </c>
      <c r="N57" s="21">
        <f>IF(L57=1,IF(J57="PY",H57,K57),"")</f>
        <v/>
      </c>
      <c r="O57" s="23">
        <f>IF(L57=1,IF(J57="PY",F57*M57/N57,F57),0)</f>
        <v/>
      </c>
      <c r="P57" s="23">
        <f>IF(L57=1,IF(J57="PY",G57*M57/N57,G57),0)</f>
        <v/>
      </c>
      <c r="Q57" s="23">
        <f>IF(AND(L57=1,J57="PY"),F57*(N57-M57)/N57,0)</f>
        <v/>
      </c>
      <c r="R57" s="23">
        <f>IF(AND(L57=1,J57="PY"),G57*(N57-M57)/N57,0)</f>
        <v/>
      </c>
      <c r="S57" s="21">
        <f>IF(COUNTA(A57:G57)=0,"",IF(OR(A57="",B57="",NOT(ISNUMBER(C57))),"Fill market, product and year",IF(COUNTIF(Control!$B$11:$B$13,B57)=0,"Unknown product",IF(COUNTIFS(Dat_A,A57,Dat_B,B57,Dat_C,C57)&gt;1,"Duplicate market/product/year",IF(OR(NOT(ISNUMBER(D57)),NOT(ISNUMBER(E57))),"Add launch date and Data through date",IF(E57&lt;D57,"Data through is before launch",IF(OR(NOT(ISNUMBER(F57)),NOT(ISNUMBER(G57))),"Add units and revenue","OK")))))))</f>
        <v/>
      </c>
    </row>
    <row r="58">
      <c r="A58" s="17" t="n"/>
      <c r="B58" s="17" t="n"/>
      <c r="C58" s="17" t="n"/>
      <c r="D58" s="18" t="n"/>
      <c r="E58" s="18" t="n"/>
      <c r="F58" s="19" t="n"/>
      <c r="G58" s="20" t="n"/>
      <c r="H58" s="21">
        <f>IF(AND(ISNUMBER(D58),ISNUMBER(E58)),E58-D58+1,"")</f>
        <v/>
      </c>
      <c r="I58" s="22">
        <f>IF(AND(ISNUMBER(F58),N(F58)&gt;0,ISNUMBER(G58)),G58/F58,"")</f>
        <v/>
      </c>
      <c r="J58" s="21">
        <f>IF(OR(A58="",B58=""),"",IF(C58=Yr_Cur,"CY",IF(C58=Yr_Prev,"PY","")))</f>
        <v/>
      </c>
      <c r="K58" s="21">
        <f>IF(J58="","",IF(J58="CY",SUMIFS(Dat_H,Dat_A,A58,Dat_B,B58,Dat_C,Yr_Prev),SUMIFS(Dat_H,Dat_A,A58,Dat_B,B58,Dat_C,Yr_Cur)))</f>
        <v/>
      </c>
      <c r="L58" s="21">
        <f>IF(J58="",0,IF(AND(ISNUMBER(H58),N(K58)&gt;0,ISNUMBER(F58),ISNUMBER(G58),OR(Sel_Market="All markets",A58=Sel_Market),COUNTIFS(Control!$B$11:$B$13,B58,Control!$C$11:$C$13,"Yes")&gt;0),1,0))</f>
        <v/>
      </c>
      <c r="M58" s="21">
        <f>IF(L58=1,IF(J58="CY",H58,K58),"")</f>
        <v/>
      </c>
      <c r="N58" s="21">
        <f>IF(L58=1,IF(J58="PY",H58,K58),"")</f>
        <v/>
      </c>
      <c r="O58" s="23">
        <f>IF(L58=1,IF(J58="PY",F58*M58/N58,F58),0)</f>
        <v/>
      </c>
      <c r="P58" s="23">
        <f>IF(L58=1,IF(J58="PY",G58*M58/N58,G58),0)</f>
        <v/>
      </c>
      <c r="Q58" s="23">
        <f>IF(AND(L58=1,J58="PY"),F58*(N58-M58)/N58,0)</f>
        <v/>
      </c>
      <c r="R58" s="23">
        <f>IF(AND(L58=1,J58="PY"),G58*(N58-M58)/N58,0)</f>
        <v/>
      </c>
      <c r="S58" s="21">
        <f>IF(COUNTA(A58:G58)=0,"",IF(OR(A58="",B58="",NOT(ISNUMBER(C58))),"Fill market, product and year",IF(COUNTIF(Control!$B$11:$B$13,B58)=0,"Unknown product",IF(COUNTIFS(Dat_A,A58,Dat_B,B58,Dat_C,C58)&gt;1,"Duplicate market/product/year",IF(OR(NOT(ISNUMBER(D58)),NOT(ISNUMBER(E58))),"Add launch date and Data through date",IF(E58&lt;D58,"Data through is before launch",IF(OR(NOT(ISNUMBER(F58)),NOT(ISNUMBER(G58))),"Add units and revenue","OK")))))))</f>
        <v/>
      </c>
    </row>
    <row r="59">
      <c r="A59" s="17" t="n"/>
      <c r="B59" s="17" t="n"/>
      <c r="C59" s="17" t="n"/>
      <c r="D59" s="18" t="n"/>
      <c r="E59" s="18" t="n"/>
      <c r="F59" s="19" t="n"/>
      <c r="G59" s="20" t="n"/>
      <c r="H59" s="21">
        <f>IF(AND(ISNUMBER(D59),ISNUMBER(E59)),E59-D59+1,"")</f>
        <v/>
      </c>
      <c r="I59" s="22">
        <f>IF(AND(ISNUMBER(F59),N(F59)&gt;0,ISNUMBER(G59)),G59/F59,"")</f>
        <v/>
      </c>
      <c r="J59" s="21">
        <f>IF(OR(A59="",B59=""),"",IF(C59=Yr_Cur,"CY",IF(C59=Yr_Prev,"PY","")))</f>
        <v/>
      </c>
      <c r="K59" s="21">
        <f>IF(J59="","",IF(J59="CY",SUMIFS(Dat_H,Dat_A,A59,Dat_B,B59,Dat_C,Yr_Prev),SUMIFS(Dat_H,Dat_A,A59,Dat_B,B59,Dat_C,Yr_Cur)))</f>
        <v/>
      </c>
      <c r="L59" s="21">
        <f>IF(J59="",0,IF(AND(ISNUMBER(H59),N(K59)&gt;0,ISNUMBER(F59),ISNUMBER(G59),OR(Sel_Market="All markets",A59=Sel_Market),COUNTIFS(Control!$B$11:$B$13,B59,Control!$C$11:$C$13,"Yes")&gt;0),1,0))</f>
        <v/>
      </c>
      <c r="M59" s="21">
        <f>IF(L59=1,IF(J59="CY",H59,K59),"")</f>
        <v/>
      </c>
      <c r="N59" s="21">
        <f>IF(L59=1,IF(J59="PY",H59,K59),"")</f>
        <v/>
      </c>
      <c r="O59" s="23">
        <f>IF(L59=1,IF(J59="PY",F59*M59/N59,F59),0)</f>
        <v/>
      </c>
      <c r="P59" s="23">
        <f>IF(L59=1,IF(J59="PY",G59*M59/N59,G59),0)</f>
        <v/>
      </c>
      <c r="Q59" s="23">
        <f>IF(AND(L59=1,J59="PY"),F59*(N59-M59)/N59,0)</f>
        <v/>
      </c>
      <c r="R59" s="23">
        <f>IF(AND(L59=1,J59="PY"),G59*(N59-M59)/N59,0)</f>
        <v/>
      </c>
      <c r="S59" s="21">
        <f>IF(COUNTA(A59:G59)=0,"",IF(OR(A59="",B59="",NOT(ISNUMBER(C59))),"Fill market, product and year",IF(COUNTIF(Control!$B$11:$B$13,B59)=0,"Unknown product",IF(COUNTIFS(Dat_A,A59,Dat_B,B59,Dat_C,C59)&gt;1,"Duplicate market/product/year",IF(OR(NOT(ISNUMBER(D59)),NOT(ISNUMBER(E59))),"Add launch date and Data through date",IF(E59&lt;D59,"Data through is before launch",IF(OR(NOT(ISNUMBER(F59)),NOT(ISNUMBER(G59))),"Add units and revenue","OK")))))))</f>
        <v/>
      </c>
    </row>
    <row r="60">
      <c r="A60" s="17" t="n"/>
      <c r="B60" s="17" t="n"/>
      <c r="C60" s="17" t="n"/>
      <c r="D60" s="18" t="n"/>
      <c r="E60" s="18" t="n"/>
      <c r="F60" s="19" t="n"/>
      <c r="G60" s="20" t="n"/>
      <c r="H60" s="21">
        <f>IF(AND(ISNUMBER(D60),ISNUMBER(E60)),E60-D60+1,"")</f>
        <v/>
      </c>
      <c r="I60" s="22">
        <f>IF(AND(ISNUMBER(F60),N(F60)&gt;0,ISNUMBER(G60)),G60/F60,"")</f>
        <v/>
      </c>
      <c r="J60" s="21">
        <f>IF(OR(A60="",B60=""),"",IF(C60=Yr_Cur,"CY",IF(C60=Yr_Prev,"PY","")))</f>
        <v/>
      </c>
      <c r="K60" s="21">
        <f>IF(J60="","",IF(J60="CY",SUMIFS(Dat_H,Dat_A,A60,Dat_B,B60,Dat_C,Yr_Prev),SUMIFS(Dat_H,Dat_A,A60,Dat_B,B60,Dat_C,Yr_Cur)))</f>
        <v/>
      </c>
      <c r="L60" s="21">
        <f>IF(J60="",0,IF(AND(ISNUMBER(H60),N(K60)&gt;0,ISNUMBER(F60),ISNUMBER(G60),OR(Sel_Market="All markets",A60=Sel_Market),COUNTIFS(Control!$B$11:$B$13,B60,Control!$C$11:$C$13,"Yes")&gt;0),1,0))</f>
        <v/>
      </c>
      <c r="M60" s="21">
        <f>IF(L60=1,IF(J60="CY",H60,K60),"")</f>
        <v/>
      </c>
      <c r="N60" s="21">
        <f>IF(L60=1,IF(J60="PY",H60,K60),"")</f>
        <v/>
      </c>
      <c r="O60" s="23">
        <f>IF(L60=1,IF(J60="PY",F60*M60/N60,F60),0)</f>
        <v/>
      </c>
      <c r="P60" s="23">
        <f>IF(L60=1,IF(J60="PY",G60*M60/N60,G60),0)</f>
        <v/>
      </c>
      <c r="Q60" s="23">
        <f>IF(AND(L60=1,J60="PY"),F60*(N60-M60)/N60,0)</f>
        <v/>
      </c>
      <c r="R60" s="23">
        <f>IF(AND(L60=1,J60="PY"),G60*(N60-M60)/N60,0)</f>
        <v/>
      </c>
      <c r="S60" s="21">
        <f>IF(COUNTA(A60:G60)=0,"",IF(OR(A60="",B60="",NOT(ISNUMBER(C60))),"Fill market, product and year",IF(COUNTIF(Control!$B$11:$B$13,B60)=0,"Unknown product",IF(COUNTIFS(Dat_A,A60,Dat_B,B60,Dat_C,C60)&gt;1,"Duplicate market/product/year",IF(OR(NOT(ISNUMBER(D60)),NOT(ISNUMBER(E60))),"Add launch date and Data through date",IF(E60&lt;D60,"Data through is before launch",IF(OR(NOT(ISNUMBER(F60)),NOT(ISNUMBER(G60))),"Add units and revenue","OK")))))))</f>
        <v/>
      </c>
    </row>
    <row r="61">
      <c r="A61" s="17" t="n"/>
      <c r="B61" s="17" t="n"/>
      <c r="C61" s="17" t="n"/>
      <c r="D61" s="18" t="n"/>
      <c r="E61" s="18" t="n"/>
      <c r="F61" s="19" t="n"/>
      <c r="G61" s="20" t="n"/>
      <c r="H61" s="21">
        <f>IF(AND(ISNUMBER(D61),ISNUMBER(E61)),E61-D61+1,"")</f>
        <v/>
      </c>
      <c r="I61" s="22">
        <f>IF(AND(ISNUMBER(F61),N(F61)&gt;0,ISNUMBER(G61)),G61/F61,"")</f>
        <v/>
      </c>
      <c r="J61" s="21">
        <f>IF(OR(A61="",B61=""),"",IF(C61=Yr_Cur,"CY",IF(C61=Yr_Prev,"PY","")))</f>
        <v/>
      </c>
      <c r="K61" s="21">
        <f>IF(J61="","",IF(J61="CY",SUMIFS(Dat_H,Dat_A,A61,Dat_B,B61,Dat_C,Yr_Prev),SUMIFS(Dat_H,Dat_A,A61,Dat_B,B61,Dat_C,Yr_Cur)))</f>
        <v/>
      </c>
      <c r="L61" s="21">
        <f>IF(J61="",0,IF(AND(ISNUMBER(H61),N(K61)&gt;0,ISNUMBER(F61),ISNUMBER(G61),OR(Sel_Market="All markets",A61=Sel_Market),COUNTIFS(Control!$B$11:$B$13,B61,Control!$C$11:$C$13,"Yes")&gt;0),1,0))</f>
        <v/>
      </c>
      <c r="M61" s="21">
        <f>IF(L61=1,IF(J61="CY",H61,K61),"")</f>
        <v/>
      </c>
      <c r="N61" s="21">
        <f>IF(L61=1,IF(J61="PY",H61,K61),"")</f>
        <v/>
      </c>
      <c r="O61" s="23">
        <f>IF(L61=1,IF(J61="PY",F61*M61/N61,F61),0)</f>
        <v/>
      </c>
      <c r="P61" s="23">
        <f>IF(L61=1,IF(J61="PY",G61*M61/N61,G61),0)</f>
        <v/>
      </c>
      <c r="Q61" s="23">
        <f>IF(AND(L61=1,J61="PY"),F61*(N61-M61)/N61,0)</f>
        <v/>
      </c>
      <c r="R61" s="23">
        <f>IF(AND(L61=1,J61="PY"),G61*(N61-M61)/N61,0)</f>
        <v/>
      </c>
      <c r="S61" s="21">
        <f>IF(COUNTA(A61:G61)=0,"",IF(OR(A61="",B61="",NOT(ISNUMBER(C61))),"Fill market, product and year",IF(COUNTIF(Control!$B$11:$B$13,B61)=0,"Unknown product",IF(COUNTIFS(Dat_A,A61,Dat_B,B61,Dat_C,C61)&gt;1,"Duplicate market/product/year",IF(OR(NOT(ISNUMBER(D61)),NOT(ISNUMBER(E61))),"Add launch date and Data through date",IF(E61&lt;D61,"Data through is before launch",IF(OR(NOT(ISNUMBER(F61)),NOT(ISNUMBER(G61))),"Add units and revenue","OK")))))))</f>
        <v/>
      </c>
    </row>
    <row r="62">
      <c r="A62" s="17" t="n"/>
      <c r="B62" s="17" t="n"/>
      <c r="C62" s="17" t="n"/>
      <c r="D62" s="18" t="n"/>
      <c r="E62" s="18" t="n"/>
      <c r="F62" s="19" t="n"/>
      <c r="G62" s="20" t="n"/>
      <c r="H62" s="21">
        <f>IF(AND(ISNUMBER(D62),ISNUMBER(E62)),E62-D62+1,"")</f>
        <v/>
      </c>
      <c r="I62" s="22">
        <f>IF(AND(ISNUMBER(F62),N(F62)&gt;0,ISNUMBER(G62)),G62/F62,"")</f>
        <v/>
      </c>
      <c r="J62" s="21">
        <f>IF(OR(A62="",B62=""),"",IF(C62=Yr_Cur,"CY",IF(C62=Yr_Prev,"PY","")))</f>
        <v/>
      </c>
      <c r="K62" s="21">
        <f>IF(J62="","",IF(J62="CY",SUMIFS(Dat_H,Dat_A,A62,Dat_B,B62,Dat_C,Yr_Prev),SUMIFS(Dat_H,Dat_A,A62,Dat_B,B62,Dat_C,Yr_Cur)))</f>
        <v/>
      </c>
      <c r="L62" s="21">
        <f>IF(J62="",0,IF(AND(ISNUMBER(H62),N(K62)&gt;0,ISNUMBER(F62),ISNUMBER(G62),OR(Sel_Market="All markets",A62=Sel_Market),COUNTIFS(Control!$B$11:$B$13,B62,Control!$C$11:$C$13,"Yes")&gt;0),1,0))</f>
        <v/>
      </c>
      <c r="M62" s="21">
        <f>IF(L62=1,IF(J62="CY",H62,K62),"")</f>
        <v/>
      </c>
      <c r="N62" s="21">
        <f>IF(L62=1,IF(J62="PY",H62,K62),"")</f>
        <v/>
      </c>
      <c r="O62" s="23">
        <f>IF(L62=1,IF(J62="PY",F62*M62/N62,F62),0)</f>
        <v/>
      </c>
      <c r="P62" s="23">
        <f>IF(L62=1,IF(J62="PY",G62*M62/N62,G62),0)</f>
        <v/>
      </c>
      <c r="Q62" s="23">
        <f>IF(AND(L62=1,J62="PY"),F62*(N62-M62)/N62,0)</f>
        <v/>
      </c>
      <c r="R62" s="23">
        <f>IF(AND(L62=1,J62="PY"),G62*(N62-M62)/N62,0)</f>
        <v/>
      </c>
      <c r="S62" s="21">
        <f>IF(COUNTA(A62:G62)=0,"",IF(OR(A62="",B62="",NOT(ISNUMBER(C62))),"Fill market, product and year",IF(COUNTIF(Control!$B$11:$B$13,B62)=0,"Unknown product",IF(COUNTIFS(Dat_A,A62,Dat_B,B62,Dat_C,C62)&gt;1,"Duplicate market/product/year",IF(OR(NOT(ISNUMBER(D62)),NOT(ISNUMBER(E62))),"Add launch date and Data through date",IF(E62&lt;D62,"Data through is before launch",IF(OR(NOT(ISNUMBER(F62)),NOT(ISNUMBER(G62))),"Add units and revenue","OK")))))))</f>
        <v/>
      </c>
    </row>
    <row r="63">
      <c r="A63" s="17" t="n"/>
      <c r="B63" s="17" t="n"/>
      <c r="C63" s="17" t="n"/>
      <c r="D63" s="18" t="n"/>
      <c r="E63" s="18" t="n"/>
      <c r="F63" s="19" t="n"/>
      <c r="G63" s="20" t="n"/>
      <c r="H63" s="21">
        <f>IF(AND(ISNUMBER(D63),ISNUMBER(E63)),E63-D63+1,"")</f>
        <v/>
      </c>
      <c r="I63" s="22">
        <f>IF(AND(ISNUMBER(F63),N(F63)&gt;0,ISNUMBER(G63)),G63/F63,"")</f>
        <v/>
      </c>
      <c r="J63" s="21">
        <f>IF(OR(A63="",B63=""),"",IF(C63=Yr_Cur,"CY",IF(C63=Yr_Prev,"PY","")))</f>
        <v/>
      </c>
      <c r="K63" s="21">
        <f>IF(J63="","",IF(J63="CY",SUMIFS(Dat_H,Dat_A,A63,Dat_B,B63,Dat_C,Yr_Prev),SUMIFS(Dat_H,Dat_A,A63,Dat_B,B63,Dat_C,Yr_Cur)))</f>
        <v/>
      </c>
      <c r="L63" s="21">
        <f>IF(J63="",0,IF(AND(ISNUMBER(H63),N(K63)&gt;0,ISNUMBER(F63),ISNUMBER(G63),OR(Sel_Market="All markets",A63=Sel_Market),COUNTIFS(Control!$B$11:$B$13,B63,Control!$C$11:$C$13,"Yes")&gt;0),1,0))</f>
        <v/>
      </c>
      <c r="M63" s="21">
        <f>IF(L63=1,IF(J63="CY",H63,K63),"")</f>
        <v/>
      </c>
      <c r="N63" s="21">
        <f>IF(L63=1,IF(J63="PY",H63,K63),"")</f>
        <v/>
      </c>
      <c r="O63" s="23">
        <f>IF(L63=1,IF(J63="PY",F63*M63/N63,F63),0)</f>
        <v/>
      </c>
      <c r="P63" s="23">
        <f>IF(L63=1,IF(J63="PY",G63*M63/N63,G63),0)</f>
        <v/>
      </c>
      <c r="Q63" s="23">
        <f>IF(AND(L63=1,J63="PY"),F63*(N63-M63)/N63,0)</f>
        <v/>
      </c>
      <c r="R63" s="23">
        <f>IF(AND(L63=1,J63="PY"),G63*(N63-M63)/N63,0)</f>
        <v/>
      </c>
      <c r="S63" s="21">
        <f>IF(COUNTA(A63:G63)=0,"",IF(OR(A63="",B63="",NOT(ISNUMBER(C63))),"Fill market, product and year",IF(COUNTIF(Control!$B$11:$B$13,B63)=0,"Unknown product",IF(COUNTIFS(Dat_A,A63,Dat_B,B63,Dat_C,C63)&gt;1,"Duplicate market/product/year",IF(OR(NOT(ISNUMBER(D63)),NOT(ISNUMBER(E63))),"Add launch date and Data through date",IF(E63&lt;D63,"Data through is before launch",IF(OR(NOT(ISNUMBER(F63)),NOT(ISNUMBER(G63))),"Add units and revenue","OK")))))))</f>
        <v/>
      </c>
    </row>
    <row r="64">
      <c r="A64" s="17" t="n"/>
      <c r="B64" s="17" t="n"/>
      <c r="C64" s="17" t="n"/>
      <c r="D64" s="18" t="n"/>
      <c r="E64" s="18" t="n"/>
      <c r="F64" s="19" t="n"/>
      <c r="G64" s="20" t="n"/>
      <c r="H64" s="21">
        <f>IF(AND(ISNUMBER(D64),ISNUMBER(E64)),E64-D64+1,"")</f>
        <v/>
      </c>
      <c r="I64" s="22">
        <f>IF(AND(ISNUMBER(F64),N(F64)&gt;0,ISNUMBER(G64)),G64/F64,"")</f>
        <v/>
      </c>
      <c r="J64" s="21">
        <f>IF(OR(A64="",B64=""),"",IF(C64=Yr_Cur,"CY",IF(C64=Yr_Prev,"PY","")))</f>
        <v/>
      </c>
      <c r="K64" s="21">
        <f>IF(J64="","",IF(J64="CY",SUMIFS(Dat_H,Dat_A,A64,Dat_B,B64,Dat_C,Yr_Prev),SUMIFS(Dat_H,Dat_A,A64,Dat_B,B64,Dat_C,Yr_Cur)))</f>
        <v/>
      </c>
      <c r="L64" s="21">
        <f>IF(J64="",0,IF(AND(ISNUMBER(H64),N(K64)&gt;0,ISNUMBER(F64),ISNUMBER(G64),OR(Sel_Market="All markets",A64=Sel_Market),COUNTIFS(Control!$B$11:$B$13,B64,Control!$C$11:$C$13,"Yes")&gt;0),1,0))</f>
        <v/>
      </c>
      <c r="M64" s="21">
        <f>IF(L64=1,IF(J64="CY",H64,K64),"")</f>
        <v/>
      </c>
      <c r="N64" s="21">
        <f>IF(L64=1,IF(J64="PY",H64,K64),"")</f>
        <v/>
      </c>
      <c r="O64" s="23">
        <f>IF(L64=1,IF(J64="PY",F64*M64/N64,F64),0)</f>
        <v/>
      </c>
      <c r="P64" s="23">
        <f>IF(L64=1,IF(J64="PY",G64*M64/N64,G64),0)</f>
        <v/>
      </c>
      <c r="Q64" s="23">
        <f>IF(AND(L64=1,J64="PY"),F64*(N64-M64)/N64,0)</f>
        <v/>
      </c>
      <c r="R64" s="23">
        <f>IF(AND(L64=1,J64="PY"),G64*(N64-M64)/N64,0)</f>
        <v/>
      </c>
      <c r="S64" s="21">
        <f>IF(COUNTA(A64:G64)=0,"",IF(OR(A64="",B64="",NOT(ISNUMBER(C64))),"Fill market, product and year",IF(COUNTIF(Control!$B$11:$B$13,B64)=0,"Unknown product",IF(COUNTIFS(Dat_A,A64,Dat_B,B64,Dat_C,C64)&gt;1,"Duplicate market/product/year",IF(OR(NOT(ISNUMBER(D64)),NOT(ISNUMBER(E64))),"Add launch date and Data through date",IF(E64&lt;D64,"Data through is before launch",IF(OR(NOT(ISNUMBER(F64)),NOT(ISNUMBER(G64))),"Add units and revenue","OK")))))))</f>
        <v/>
      </c>
    </row>
    <row r="65">
      <c r="A65" s="17" t="n"/>
      <c r="B65" s="17" t="n"/>
      <c r="C65" s="17" t="n"/>
      <c r="D65" s="18" t="n"/>
      <c r="E65" s="18" t="n"/>
      <c r="F65" s="19" t="n"/>
      <c r="G65" s="20" t="n"/>
      <c r="H65" s="21">
        <f>IF(AND(ISNUMBER(D65),ISNUMBER(E65)),E65-D65+1,"")</f>
        <v/>
      </c>
      <c r="I65" s="22">
        <f>IF(AND(ISNUMBER(F65),N(F65)&gt;0,ISNUMBER(G65)),G65/F65,"")</f>
        <v/>
      </c>
      <c r="J65" s="21">
        <f>IF(OR(A65="",B65=""),"",IF(C65=Yr_Cur,"CY",IF(C65=Yr_Prev,"PY","")))</f>
        <v/>
      </c>
      <c r="K65" s="21">
        <f>IF(J65="","",IF(J65="CY",SUMIFS(Dat_H,Dat_A,A65,Dat_B,B65,Dat_C,Yr_Prev),SUMIFS(Dat_H,Dat_A,A65,Dat_B,B65,Dat_C,Yr_Cur)))</f>
        <v/>
      </c>
      <c r="L65" s="21">
        <f>IF(J65="",0,IF(AND(ISNUMBER(H65),N(K65)&gt;0,ISNUMBER(F65),ISNUMBER(G65),OR(Sel_Market="All markets",A65=Sel_Market),COUNTIFS(Control!$B$11:$B$13,B65,Control!$C$11:$C$13,"Yes")&gt;0),1,0))</f>
        <v/>
      </c>
      <c r="M65" s="21">
        <f>IF(L65=1,IF(J65="CY",H65,K65),"")</f>
        <v/>
      </c>
      <c r="N65" s="21">
        <f>IF(L65=1,IF(J65="PY",H65,K65),"")</f>
        <v/>
      </c>
      <c r="O65" s="23">
        <f>IF(L65=1,IF(J65="PY",F65*M65/N65,F65),0)</f>
        <v/>
      </c>
      <c r="P65" s="23">
        <f>IF(L65=1,IF(J65="PY",G65*M65/N65,G65),0)</f>
        <v/>
      </c>
      <c r="Q65" s="23">
        <f>IF(AND(L65=1,J65="PY"),F65*(N65-M65)/N65,0)</f>
        <v/>
      </c>
      <c r="R65" s="23">
        <f>IF(AND(L65=1,J65="PY"),G65*(N65-M65)/N65,0)</f>
        <v/>
      </c>
      <c r="S65" s="21">
        <f>IF(COUNTA(A65:G65)=0,"",IF(OR(A65="",B65="",NOT(ISNUMBER(C65))),"Fill market, product and year",IF(COUNTIF(Control!$B$11:$B$13,B65)=0,"Unknown product",IF(COUNTIFS(Dat_A,A65,Dat_B,B65,Dat_C,C65)&gt;1,"Duplicate market/product/year",IF(OR(NOT(ISNUMBER(D65)),NOT(ISNUMBER(E65))),"Add launch date and Data through date",IF(E65&lt;D65,"Data through is before launch",IF(OR(NOT(ISNUMBER(F65)),NOT(ISNUMBER(G65))),"Add units and revenue","OK")))))))</f>
        <v/>
      </c>
    </row>
    <row r="66">
      <c r="A66" s="17" t="n"/>
      <c r="B66" s="17" t="n"/>
      <c r="C66" s="17" t="n"/>
      <c r="D66" s="18" t="n"/>
      <c r="E66" s="18" t="n"/>
      <c r="F66" s="19" t="n"/>
      <c r="G66" s="20" t="n"/>
      <c r="H66" s="21">
        <f>IF(AND(ISNUMBER(D66),ISNUMBER(E66)),E66-D66+1,"")</f>
        <v/>
      </c>
      <c r="I66" s="22">
        <f>IF(AND(ISNUMBER(F66),N(F66)&gt;0,ISNUMBER(G66)),G66/F66,"")</f>
        <v/>
      </c>
      <c r="J66" s="21">
        <f>IF(OR(A66="",B66=""),"",IF(C66=Yr_Cur,"CY",IF(C66=Yr_Prev,"PY","")))</f>
        <v/>
      </c>
      <c r="K66" s="21">
        <f>IF(J66="","",IF(J66="CY",SUMIFS(Dat_H,Dat_A,A66,Dat_B,B66,Dat_C,Yr_Prev),SUMIFS(Dat_H,Dat_A,A66,Dat_B,B66,Dat_C,Yr_Cur)))</f>
        <v/>
      </c>
      <c r="L66" s="21">
        <f>IF(J66="",0,IF(AND(ISNUMBER(H66),N(K66)&gt;0,ISNUMBER(F66),ISNUMBER(G66),OR(Sel_Market="All markets",A66=Sel_Market),COUNTIFS(Control!$B$11:$B$13,B66,Control!$C$11:$C$13,"Yes")&gt;0),1,0))</f>
        <v/>
      </c>
      <c r="M66" s="21">
        <f>IF(L66=1,IF(J66="CY",H66,K66),"")</f>
        <v/>
      </c>
      <c r="N66" s="21">
        <f>IF(L66=1,IF(J66="PY",H66,K66),"")</f>
        <v/>
      </c>
      <c r="O66" s="23">
        <f>IF(L66=1,IF(J66="PY",F66*M66/N66,F66),0)</f>
        <v/>
      </c>
      <c r="P66" s="23">
        <f>IF(L66=1,IF(J66="PY",G66*M66/N66,G66),0)</f>
        <v/>
      </c>
      <c r="Q66" s="23">
        <f>IF(AND(L66=1,J66="PY"),F66*(N66-M66)/N66,0)</f>
        <v/>
      </c>
      <c r="R66" s="23">
        <f>IF(AND(L66=1,J66="PY"),G66*(N66-M66)/N66,0)</f>
        <v/>
      </c>
      <c r="S66" s="21">
        <f>IF(COUNTA(A66:G66)=0,"",IF(OR(A66="",B66="",NOT(ISNUMBER(C66))),"Fill market, product and year",IF(COUNTIF(Control!$B$11:$B$13,B66)=0,"Unknown product",IF(COUNTIFS(Dat_A,A66,Dat_B,B66,Dat_C,C66)&gt;1,"Duplicate market/product/year",IF(OR(NOT(ISNUMBER(D66)),NOT(ISNUMBER(E66))),"Add launch date and Data through date",IF(E66&lt;D66,"Data through is before launch",IF(OR(NOT(ISNUMBER(F66)),NOT(ISNUMBER(G66))),"Add units and revenue","OK")))))))</f>
        <v/>
      </c>
    </row>
    <row r="67">
      <c r="A67" s="17" t="n"/>
      <c r="B67" s="17" t="n"/>
      <c r="C67" s="17" t="n"/>
      <c r="D67" s="18" t="n"/>
      <c r="E67" s="18" t="n"/>
      <c r="F67" s="19" t="n"/>
      <c r="G67" s="20" t="n"/>
      <c r="H67" s="21">
        <f>IF(AND(ISNUMBER(D67),ISNUMBER(E67)),E67-D67+1,"")</f>
        <v/>
      </c>
      <c r="I67" s="22">
        <f>IF(AND(ISNUMBER(F67),N(F67)&gt;0,ISNUMBER(G67)),G67/F67,"")</f>
        <v/>
      </c>
      <c r="J67" s="21">
        <f>IF(OR(A67="",B67=""),"",IF(C67=Yr_Cur,"CY",IF(C67=Yr_Prev,"PY","")))</f>
        <v/>
      </c>
      <c r="K67" s="21">
        <f>IF(J67="","",IF(J67="CY",SUMIFS(Dat_H,Dat_A,A67,Dat_B,B67,Dat_C,Yr_Prev),SUMIFS(Dat_H,Dat_A,A67,Dat_B,B67,Dat_C,Yr_Cur)))</f>
        <v/>
      </c>
      <c r="L67" s="21">
        <f>IF(J67="",0,IF(AND(ISNUMBER(H67),N(K67)&gt;0,ISNUMBER(F67),ISNUMBER(G67),OR(Sel_Market="All markets",A67=Sel_Market),COUNTIFS(Control!$B$11:$B$13,B67,Control!$C$11:$C$13,"Yes")&gt;0),1,0))</f>
        <v/>
      </c>
      <c r="M67" s="21">
        <f>IF(L67=1,IF(J67="CY",H67,K67),"")</f>
        <v/>
      </c>
      <c r="N67" s="21">
        <f>IF(L67=1,IF(J67="PY",H67,K67),"")</f>
        <v/>
      </c>
      <c r="O67" s="23">
        <f>IF(L67=1,IF(J67="PY",F67*M67/N67,F67),0)</f>
        <v/>
      </c>
      <c r="P67" s="23">
        <f>IF(L67=1,IF(J67="PY",G67*M67/N67,G67),0)</f>
        <v/>
      </c>
      <c r="Q67" s="23">
        <f>IF(AND(L67=1,J67="PY"),F67*(N67-M67)/N67,0)</f>
        <v/>
      </c>
      <c r="R67" s="23">
        <f>IF(AND(L67=1,J67="PY"),G67*(N67-M67)/N67,0)</f>
        <v/>
      </c>
      <c r="S67" s="21">
        <f>IF(COUNTA(A67:G67)=0,"",IF(OR(A67="",B67="",NOT(ISNUMBER(C67))),"Fill market, product and year",IF(COUNTIF(Control!$B$11:$B$13,B67)=0,"Unknown product",IF(COUNTIFS(Dat_A,A67,Dat_B,B67,Dat_C,C67)&gt;1,"Duplicate market/product/year",IF(OR(NOT(ISNUMBER(D67)),NOT(ISNUMBER(E67))),"Add launch date and Data through date",IF(E67&lt;D67,"Data through is before launch",IF(OR(NOT(ISNUMBER(F67)),NOT(ISNUMBER(G67))),"Add units and revenue","OK")))))))</f>
        <v/>
      </c>
    </row>
    <row r="68">
      <c r="A68" s="17" t="n"/>
      <c r="B68" s="17" t="n"/>
      <c r="C68" s="17" t="n"/>
      <c r="D68" s="18" t="n"/>
      <c r="E68" s="18" t="n"/>
      <c r="F68" s="19" t="n"/>
      <c r="G68" s="20" t="n"/>
      <c r="H68" s="21">
        <f>IF(AND(ISNUMBER(D68),ISNUMBER(E68)),E68-D68+1,"")</f>
        <v/>
      </c>
      <c r="I68" s="22">
        <f>IF(AND(ISNUMBER(F68),N(F68)&gt;0,ISNUMBER(G68)),G68/F68,"")</f>
        <v/>
      </c>
      <c r="J68" s="21">
        <f>IF(OR(A68="",B68=""),"",IF(C68=Yr_Cur,"CY",IF(C68=Yr_Prev,"PY","")))</f>
        <v/>
      </c>
      <c r="K68" s="21">
        <f>IF(J68="","",IF(J68="CY",SUMIFS(Dat_H,Dat_A,A68,Dat_B,B68,Dat_C,Yr_Prev),SUMIFS(Dat_H,Dat_A,A68,Dat_B,B68,Dat_C,Yr_Cur)))</f>
        <v/>
      </c>
      <c r="L68" s="21">
        <f>IF(J68="",0,IF(AND(ISNUMBER(H68),N(K68)&gt;0,ISNUMBER(F68),ISNUMBER(G68),OR(Sel_Market="All markets",A68=Sel_Market),COUNTIFS(Control!$B$11:$B$13,B68,Control!$C$11:$C$13,"Yes")&gt;0),1,0))</f>
        <v/>
      </c>
      <c r="M68" s="21">
        <f>IF(L68=1,IF(J68="CY",H68,K68),"")</f>
        <v/>
      </c>
      <c r="N68" s="21">
        <f>IF(L68=1,IF(J68="PY",H68,K68),"")</f>
        <v/>
      </c>
      <c r="O68" s="23">
        <f>IF(L68=1,IF(J68="PY",F68*M68/N68,F68),0)</f>
        <v/>
      </c>
      <c r="P68" s="23">
        <f>IF(L68=1,IF(J68="PY",G68*M68/N68,G68),0)</f>
        <v/>
      </c>
      <c r="Q68" s="23">
        <f>IF(AND(L68=1,J68="PY"),F68*(N68-M68)/N68,0)</f>
        <v/>
      </c>
      <c r="R68" s="23">
        <f>IF(AND(L68=1,J68="PY"),G68*(N68-M68)/N68,0)</f>
        <v/>
      </c>
      <c r="S68" s="21">
        <f>IF(COUNTA(A68:G68)=0,"",IF(OR(A68="",B68="",NOT(ISNUMBER(C68))),"Fill market, product and year",IF(COUNTIF(Control!$B$11:$B$13,B68)=0,"Unknown product",IF(COUNTIFS(Dat_A,A68,Dat_B,B68,Dat_C,C68)&gt;1,"Duplicate market/product/year",IF(OR(NOT(ISNUMBER(D68)),NOT(ISNUMBER(E68))),"Add launch date and Data through date",IF(E68&lt;D68,"Data through is before launch",IF(OR(NOT(ISNUMBER(F68)),NOT(ISNUMBER(G68))),"Add units and revenue","OK")))))))</f>
        <v/>
      </c>
    </row>
    <row r="69">
      <c r="A69" s="17" t="n"/>
      <c r="B69" s="17" t="n"/>
      <c r="C69" s="17" t="n"/>
      <c r="D69" s="18" t="n"/>
      <c r="E69" s="18" t="n"/>
      <c r="F69" s="19" t="n"/>
      <c r="G69" s="20" t="n"/>
      <c r="H69" s="21">
        <f>IF(AND(ISNUMBER(D69),ISNUMBER(E69)),E69-D69+1,"")</f>
        <v/>
      </c>
      <c r="I69" s="22">
        <f>IF(AND(ISNUMBER(F69),N(F69)&gt;0,ISNUMBER(G69)),G69/F69,"")</f>
        <v/>
      </c>
      <c r="J69" s="21">
        <f>IF(OR(A69="",B69=""),"",IF(C69=Yr_Cur,"CY",IF(C69=Yr_Prev,"PY","")))</f>
        <v/>
      </c>
      <c r="K69" s="21">
        <f>IF(J69="","",IF(J69="CY",SUMIFS(Dat_H,Dat_A,A69,Dat_B,B69,Dat_C,Yr_Prev),SUMIFS(Dat_H,Dat_A,A69,Dat_B,B69,Dat_C,Yr_Cur)))</f>
        <v/>
      </c>
      <c r="L69" s="21">
        <f>IF(J69="",0,IF(AND(ISNUMBER(H69),N(K69)&gt;0,ISNUMBER(F69),ISNUMBER(G69),OR(Sel_Market="All markets",A69=Sel_Market),COUNTIFS(Control!$B$11:$B$13,B69,Control!$C$11:$C$13,"Yes")&gt;0),1,0))</f>
        <v/>
      </c>
      <c r="M69" s="21">
        <f>IF(L69=1,IF(J69="CY",H69,K69),"")</f>
        <v/>
      </c>
      <c r="N69" s="21">
        <f>IF(L69=1,IF(J69="PY",H69,K69),"")</f>
        <v/>
      </c>
      <c r="O69" s="23">
        <f>IF(L69=1,IF(J69="PY",F69*M69/N69,F69),0)</f>
        <v/>
      </c>
      <c r="P69" s="23">
        <f>IF(L69=1,IF(J69="PY",G69*M69/N69,G69),0)</f>
        <v/>
      </c>
      <c r="Q69" s="23">
        <f>IF(AND(L69=1,J69="PY"),F69*(N69-M69)/N69,0)</f>
        <v/>
      </c>
      <c r="R69" s="23">
        <f>IF(AND(L69=1,J69="PY"),G69*(N69-M69)/N69,0)</f>
        <v/>
      </c>
      <c r="S69" s="21">
        <f>IF(COUNTA(A69:G69)=0,"",IF(OR(A69="",B69="",NOT(ISNUMBER(C69))),"Fill market, product and year",IF(COUNTIF(Control!$B$11:$B$13,B69)=0,"Unknown product",IF(COUNTIFS(Dat_A,A69,Dat_B,B69,Dat_C,C69)&gt;1,"Duplicate market/product/year",IF(OR(NOT(ISNUMBER(D69)),NOT(ISNUMBER(E69))),"Add launch date and Data through date",IF(E69&lt;D69,"Data through is before launch",IF(OR(NOT(ISNUMBER(F69)),NOT(ISNUMBER(G69))),"Add units and revenue","OK")))))))</f>
        <v/>
      </c>
    </row>
    <row r="70">
      <c r="A70" s="17" t="n"/>
      <c r="B70" s="17" t="n"/>
      <c r="C70" s="17" t="n"/>
      <c r="D70" s="18" t="n"/>
      <c r="E70" s="18" t="n"/>
      <c r="F70" s="19" t="n"/>
      <c r="G70" s="20" t="n"/>
      <c r="H70" s="21">
        <f>IF(AND(ISNUMBER(D70),ISNUMBER(E70)),E70-D70+1,"")</f>
        <v/>
      </c>
      <c r="I70" s="22">
        <f>IF(AND(ISNUMBER(F70),N(F70)&gt;0,ISNUMBER(G70)),G70/F70,"")</f>
        <v/>
      </c>
      <c r="J70" s="21">
        <f>IF(OR(A70="",B70=""),"",IF(C70=Yr_Cur,"CY",IF(C70=Yr_Prev,"PY","")))</f>
        <v/>
      </c>
      <c r="K70" s="21">
        <f>IF(J70="","",IF(J70="CY",SUMIFS(Dat_H,Dat_A,A70,Dat_B,B70,Dat_C,Yr_Prev),SUMIFS(Dat_H,Dat_A,A70,Dat_B,B70,Dat_C,Yr_Cur)))</f>
        <v/>
      </c>
      <c r="L70" s="21">
        <f>IF(J70="",0,IF(AND(ISNUMBER(H70),N(K70)&gt;0,ISNUMBER(F70),ISNUMBER(G70),OR(Sel_Market="All markets",A70=Sel_Market),COUNTIFS(Control!$B$11:$B$13,B70,Control!$C$11:$C$13,"Yes")&gt;0),1,0))</f>
        <v/>
      </c>
      <c r="M70" s="21">
        <f>IF(L70=1,IF(J70="CY",H70,K70),"")</f>
        <v/>
      </c>
      <c r="N70" s="21">
        <f>IF(L70=1,IF(J70="PY",H70,K70),"")</f>
        <v/>
      </c>
      <c r="O70" s="23">
        <f>IF(L70=1,IF(J70="PY",F70*M70/N70,F70),0)</f>
        <v/>
      </c>
      <c r="P70" s="23">
        <f>IF(L70=1,IF(J70="PY",G70*M70/N70,G70),0)</f>
        <v/>
      </c>
      <c r="Q70" s="23">
        <f>IF(AND(L70=1,J70="PY"),F70*(N70-M70)/N70,0)</f>
        <v/>
      </c>
      <c r="R70" s="23">
        <f>IF(AND(L70=1,J70="PY"),G70*(N70-M70)/N70,0)</f>
        <v/>
      </c>
      <c r="S70" s="21">
        <f>IF(COUNTA(A70:G70)=0,"",IF(OR(A70="",B70="",NOT(ISNUMBER(C70))),"Fill market, product and year",IF(COUNTIF(Control!$B$11:$B$13,B70)=0,"Unknown product",IF(COUNTIFS(Dat_A,A70,Dat_B,B70,Dat_C,C70)&gt;1,"Duplicate market/product/year",IF(OR(NOT(ISNUMBER(D70)),NOT(ISNUMBER(E70))),"Add launch date and Data through date",IF(E70&lt;D70,"Data through is before launch",IF(OR(NOT(ISNUMBER(F70)),NOT(ISNUMBER(G70))),"Add units and revenue","OK")))))))</f>
        <v/>
      </c>
    </row>
    <row r="71">
      <c r="A71" s="17" t="n"/>
      <c r="B71" s="17" t="n"/>
      <c r="C71" s="17" t="n"/>
      <c r="D71" s="18" t="n"/>
      <c r="E71" s="18" t="n"/>
      <c r="F71" s="19" t="n"/>
      <c r="G71" s="20" t="n"/>
      <c r="H71" s="21">
        <f>IF(AND(ISNUMBER(D71),ISNUMBER(E71)),E71-D71+1,"")</f>
        <v/>
      </c>
      <c r="I71" s="22">
        <f>IF(AND(ISNUMBER(F71),N(F71)&gt;0,ISNUMBER(G71)),G71/F71,"")</f>
        <v/>
      </c>
      <c r="J71" s="21">
        <f>IF(OR(A71="",B71=""),"",IF(C71=Yr_Cur,"CY",IF(C71=Yr_Prev,"PY","")))</f>
        <v/>
      </c>
      <c r="K71" s="21">
        <f>IF(J71="","",IF(J71="CY",SUMIFS(Dat_H,Dat_A,A71,Dat_B,B71,Dat_C,Yr_Prev),SUMIFS(Dat_H,Dat_A,A71,Dat_B,B71,Dat_C,Yr_Cur)))</f>
        <v/>
      </c>
      <c r="L71" s="21">
        <f>IF(J71="",0,IF(AND(ISNUMBER(H71),N(K71)&gt;0,ISNUMBER(F71),ISNUMBER(G71),OR(Sel_Market="All markets",A71=Sel_Market),COUNTIFS(Control!$B$11:$B$13,B71,Control!$C$11:$C$13,"Yes")&gt;0),1,0))</f>
        <v/>
      </c>
      <c r="M71" s="21">
        <f>IF(L71=1,IF(J71="CY",H71,K71),"")</f>
        <v/>
      </c>
      <c r="N71" s="21">
        <f>IF(L71=1,IF(J71="PY",H71,K71),"")</f>
        <v/>
      </c>
      <c r="O71" s="23">
        <f>IF(L71=1,IF(J71="PY",F71*M71/N71,F71),0)</f>
        <v/>
      </c>
      <c r="P71" s="23">
        <f>IF(L71=1,IF(J71="PY",G71*M71/N71,G71),0)</f>
        <v/>
      </c>
      <c r="Q71" s="23">
        <f>IF(AND(L71=1,J71="PY"),F71*(N71-M71)/N71,0)</f>
        <v/>
      </c>
      <c r="R71" s="23">
        <f>IF(AND(L71=1,J71="PY"),G71*(N71-M71)/N71,0)</f>
        <v/>
      </c>
      <c r="S71" s="21">
        <f>IF(COUNTA(A71:G71)=0,"",IF(OR(A71="",B71="",NOT(ISNUMBER(C71))),"Fill market, product and year",IF(COUNTIF(Control!$B$11:$B$13,B71)=0,"Unknown product",IF(COUNTIFS(Dat_A,A71,Dat_B,B71,Dat_C,C71)&gt;1,"Duplicate market/product/year",IF(OR(NOT(ISNUMBER(D71)),NOT(ISNUMBER(E71))),"Add launch date and Data through date",IF(E71&lt;D71,"Data through is before launch",IF(OR(NOT(ISNUMBER(F71)),NOT(ISNUMBER(G71))),"Add units and revenue","OK")))))))</f>
        <v/>
      </c>
    </row>
    <row r="72">
      <c r="A72" s="17" t="n"/>
      <c r="B72" s="17" t="n"/>
      <c r="C72" s="17" t="n"/>
      <c r="D72" s="18" t="n"/>
      <c r="E72" s="18" t="n"/>
      <c r="F72" s="19" t="n"/>
      <c r="G72" s="20" t="n"/>
      <c r="H72" s="21">
        <f>IF(AND(ISNUMBER(D72),ISNUMBER(E72)),E72-D72+1,"")</f>
        <v/>
      </c>
      <c r="I72" s="22">
        <f>IF(AND(ISNUMBER(F72),N(F72)&gt;0,ISNUMBER(G72)),G72/F72,"")</f>
        <v/>
      </c>
      <c r="J72" s="21">
        <f>IF(OR(A72="",B72=""),"",IF(C72=Yr_Cur,"CY",IF(C72=Yr_Prev,"PY","")))</f>
        <v/>
      </c>
      <c r="K72" s="21">
        <f>IF(J72="","",IF(J72="CY",SUMIFS(Dat_H,Dat_A,A72,Dat_B,B72,Dat_C,Yr_Prev),SUMIFS(Dat_H,Dat_A,A72,Dat_B,B72,Dat_C,Yr_Cur)))</f>
        <v/>
      </c>
      <c r="L72" s="21">
        <f>IF(J72="",0,IF(AND(ISNUMBER(H72),N(K72)&gt;0,ISNUMBER(F72),ISNUMBER(G72),OR(Sel_Market="All markets",A72=Sel_Market),COUNTIFS(Control!$B$11:$B$13,B72,Control!$C$11:$C$13,"Yes")&gt;0),1,0))</f>
        <v/>
      </c>
      <c r="M72" s="21">
        <f>IF(L72=1,IF(J72="CY",H72,K72),"")</f>
        <v/>
      </c>
      <c r="N72" s="21">
        <f>IF(L72=1,IF(J72="PY",H72,K72),"")</f>
        <v/>
      </c>
      <c r="O72" s="23">
        <f>IF(L72=1,IF(J72="PY",F72*M72/N72,F72),0)</f>
        <v/>
      </c>
      <c r="P72" s="23">
        <f>IF(L72=1,IF(J72="PY",G72*M72/N72,G72),0)</f>
        <v/>
      </c>
      <c r="Q72" s="23">
        <f>IF(AND(L72=1,J72="PY"),F72*(N72-M72)/N72,0)</f>
        <v/>
      </c>
      <c r="R72" s="23">
        <f>IF(AND(L72=1,J72="PY"),G72*(N72-M72)/N72,0)</f>
        <v/>
      </c>
      <c r="S72" s="21">
        <f>IF(COUNTA(A72:G72)=0,"",IF(OR(A72="",B72="",NOT(ISNUMBER(C72))),"Fill market, product and year",IF(COUNTIF(Control!$B$11:$B$13,B72)=0,"Unknown product",IF(COUNTIFS(Dat_A,A72,Dat_B,B72,Dat_C,C72)&gt;1,"Duplicate market/product/year",IF(OR(NOT(ISNUMBER(D72)),NOT(ISNUMBER(E72))),"Add launch date and Data through date",IF(E72&lt;D72,"Data through is before launch",IF(OR(NOT(ISNUMBER(F72)),NOT(ISNUMBER(G72))),"Add units and revenue","OK")))))))</f>
        <v/>
      </c>
    </row>
    <row r="73">
      <c r="A73" s="17" t="n"/>
      <c r="B73" s="17" t="n"/>
      <c r="C73" s="17" t="n"/>
      <c r="D73" s="18" t="n"/>
      <c r="E73" s="18" t="n"/>
      <c r="F73" s="19" t="n"/>
      <c r="G73" s="20" t="n"/>
      <c r="H73" s="21">
        <f>IF(AND(ISNUMBER(D73),ISNUMBER(E73)),E73-D73+1,"")</f>
        <v/>
      </c>
      <c r="I73" s="22">
        <f>IF(AND(ISNUMBER(F73),N(F73)&gt;0,ISNUMBER(G73)),G73/F73,"")</f>
        <v/>
      </c>
      <c r="J73" s="21">
        <f>IF(OR(A73="",B73=""),"",IF(C73=Yr_Cur,"CY",IF(C73=Yr_Prev,"PY","")))</f>
        <v/>
      </c>
      <c r="K73" s="21">
        <f>IF(J73="","",IF(J73="CY",SUMIFS(Dat_H,Dat_A,A73,Dat_B,B73,Dat_C,Yr_Prev),SUMIFS(Dat_H,Dat_A,A73,Dat_B,B73,Dat_C,Yr_Cur)))</f>
        <v/>
      </c>
      <c r="L73" s="21">
        <f>IF(J73="",0,IF(AND(ISNUMBER(H73),N(K73)&gt;0,ISNUMBER(F73),ISNUMBER(G73),OR(Sel_Market="All markets",A73=Sel_Market),COUNTIFS(Control!$B$11:$B$13,B73,Control!$C$11:$C$13,"Yes")&gt;0),1,0))</f>
        <v/>
      </c>
      <c r="M73" s="21">
        <f>IF(L73=1,IF(J73="CY",H73,K73),"")</f>
        <v/>
      </c>
      <c r="N73" s="21">
        <f>IF(L73=1,IF(J73="PY",H73,K73),"")</f>
        <v/>
      </c>
      <c r="O73" s="23">
        <f>IF(L73=1,IF(J73="PY",F73*M73/N73,F73),0)</f>
        <v/>
      </c>
      <c r="P73" s="23">
        <f>IF(L73=1,IF(J73="PY",G73*M73/N73,G73),0)</f>
        <v/>
      </c>
      <c r="Q73" s="23">
        <f>IF(AND(L73=1,J73="PY"),F73*(N73-M73)/N73,0)</f>
        <v/>
      </c>
      <c r="R73" s="23">
        <f>IF(AND(L73=1,J73="PY"),G73*(N73-M73)/N73,0)</f>
        <v/>
      </c>
      <c r="S73" s="21">
        <f>IF(COUNTA(A73:G73)=0,"",IF(OR(A73="",B73="",NOT(ISNUMBER(C73))),"Fill market, product and year",IF(COUNTIF(Control!$B$11:$B$13,B73)=0,"Unknown product",IF(COUNTIFS(Dat_A,A73,Dat_B,B73,Dat_C,C73)&gt;1,"Duplicate market/product/year",IF(OR(NOT(ISNUMBER(D73)),NOT(ISNUMBER(E73))),"Add launch date and Data through date",IF(E73&lt;D73,"Data through is before launch",IF(OR(NOT(ISNUMBER(F73)),NOT(ISNUMBER(G73))),"Add units and revenue","OK")))))))</f>
        <v/>
      </c>
    </row>
    <row r="74">
      <c r="A74" s="17" t="n"/>
      <c r="B74" s="17" t="n"/>
      <c r="C74" s="17" t="n"/>
      <c r="D74" s="18" t="n"/>
      <c r="E74" s="18" t="n"/>
      <c r="F74" s="19" t="n"/>
      <c r="G74" s="20" t="n"/>
      <c r="H74" s="21">
        <f>IF(AND(ISNUMBER(D74),ISNUMBER(E74)),E74-D74+1,"")</f>
        <v/>
      </c>
      <c r="I74" s="22">
        <f>IF(AND(ISNUMBER(F74),N(F74)&gt;0,ISNUMBER(G74)),G74/F74,"")</f>
        <v/>
      </c>
      <c r="J74" s="21">
        <f>IF(OR(A74="",B74=""),"",IF(C74=Yr_Cur,"CY",IF(C74=Yr_Prev,"PY","")))</f>
        <v/>
      </c>
      <c r="K74" s="21">
        <f>IF(J74="","",IF(J74="CY",SUMIFS(Dat_H,Dat_A,A74,Dat_B,B74,Dat_C,Yr_Prev),SUMIFS(Dat_H,Dat_A,A74,Dat_B,B74,Dat_C,Yr_Cur)))</f>
        <v/>
      </c>
      <c r="L74" s="21">
        <f>IF(J74="",0,IF(AND(ISNUMBER(H74),N(K74)&gt;0,ISNUMBER(F74),ISNUMBER(G74),OR(Sel_Market="All markets",A74=Sel_Market),COUNTIFS(Control!$B$11:$B$13,B74,Control!$C$11:$C$13,"Yes")&gt;0),1,0))</f>
        <v/>
      </c>
      <c r="M74" s="21">
        <f>IF(L74=1,IF(J74="CY",H74,K74),"")</f>
        <v/>
      </c>
      <c r="N74" s="21">
        <f>IF(L74=1,IF(J74="PY",H74,K74),"")</f>
        <v/>
      </c>
      <c r="O74" s="23">
        <f>IF(L74=1,IF(J74="PY",F74*M74/N74,F74),0)</f>
        <v/>
      </c>
      <c r="P74" s="23">
        <f>IF(L74=1,IF(J74="PY",G74*M74/N74,G74),0)</f>
        <v/>
      </c>
      <c r="Q74" s="23">
        <f>IF(AND(L74=1,J74="PY"),F74*(N74-M74)/N74,0)</f>
        <v/>
      </c>
      <c r="R74" s="23">
        <f>IF(AND(L74=1,J74="PY"),G74*(N74-M74)/N74,0)</f>
        <v/>
      </c>
      <c r="S74" s="21">
        <f>IF(COUNTA(A74:G74)=0,"",IF(OR(A74="",B74="",NOT(ISNUMBER(C74))),"Fill market, product and year",IF(COUNTIF(Control!$B$11:$B$13,B74)=0,"Unknown product",IF(COUNTIFS(Dat_A,A74,Dat_B,B74,Dat_C,C74)&gt;1,"Duplicate market/product/year",IF(OR(NOT(ISNUMBER(D74)),NOT(ISNUMBER(E74))),"Add launch date and Data through date",IF(E74&lt;D74,"Data through is before launch",IF(OR(NOT(ISNUMBER(F74)),NOT(ISNUMBER(G74))),"Add units and revenue","OK")))))))</f>
        <v/>
      </c>
    </row>
    <row r="75">
      <c r="A75" s="17" t="n"/>
      <c r="B75" s="17" t="n"/>
      <c r="C75" s="17" t="n"/>
      <c r="D75" s="18" t="n"/>
      <c r="E75" s="18" t="n"/>
      <c r="F75" s="19" t="n"/>
      <c r="G75" s="20" t="n"/>
      <c r="H75" s="21">
        <f>IF(AND(ISNUMBER(D75),ISNUMBER(E75)),E75-D75+1,"")</f>
        <v/>
      </c>
      <c r="I75" s="22">
        <f>IF(AND(ISNUMBER(F75),N(F75)&gt;0,ISNUMBER(G75)),G75/F75,"")</f>
        <v/>
      </c>
      <c r="J75" s="21">
        <f>IF(OR(A75="",B75=""),"",IF(C75=Yr_Cur,"CY",IF(C75=Yr_Prev,"PY","")))</f>
        <v/>
      </c>
      <c r="K75" s="21">
        <f>IF(J75="","",IF(J75="CY",SUMIFS(Dat_H,Dat_A,A75,Dat_B,B75,Dat_C,Yr_Prev),SUMIFS(Dat_H,Dat_A,A75,Dat_B,B75,Dat_C,Yr_Cur)))</f>
        <v/>
      </c>
      <c r="L75" s="21">
        <f>IF(J75="",0,IF(AND(ISNUMBER(H75),N(K75)&gt;0,ISNUMBER(F75),ISNUMBER(G75),OR(Sel_Market="All markets",A75=Sel_Market),COUNTIFS(Control!$B$11:$B$13,B75,Control!$C$11:$C$13,"Yes")&gt;0),1,0))</f>
        <v/>
      </c>
      <c r="M75" s="21">
        <f>IF(L75=1,IF(J75="CY",H75,K75),"")</f>
        <v/>
      </c>
      <c r="N75" s="21">
        <f>IF(L75=1,IF(J75="PY",H75,K75),"")</f>
        <v/>
      </c>
      <c r="O75" s="23">
        <f>IF(L75=1,IF(J75="PY",F75*M75/N75,F75),0)</f>
        <v/>
      </c>
      <c r="P75" s="23">
        <f>IF(L75=1,IF(J75="PY",G75*M75/N75,G75),0)</f>
        <v/>
      </c>
      <c r="Q75" s="23">
        <f>IF(AND(L75=1,J75="PY"),F75*(N75-M75)/N75,0)</f>
        <v/>
      </c>
      <c r="R75" s="23">
        <f>IF(AND(L75=1,J75="PY"),G75*(N75-M75)/N75,0)</f>
        <v/>
      </c>
      <c r="S75" s="21">
        <f>IF(COUNTA(A75:G75)=0,"",IF(OR(A75="",B75="",NOT(ISNUMBER(C75))),"Fill market, product and year",IF(COUNTIF(Control!$B$11:$B$13,B75)=0,"Unknown product",IF(COUNTIFS(Dat_A,A75,Dat_B,B75,Dat_C,C75)&gt;1,"Duplicate market/product/year",IF(OR(NOT(ISNUMBER(D75)),NOT(ISNUMBER(E75))),"Add launch date and Data through date",IF(E75&lt;D75,"Data through is before launch",IF(OR(NOT(ISNUMBER(F75)),NOT(ISNUMBER(G75))),"Add units and revenue","OK")))))))</f>
        <v/>
      </c>
    </row>
    <row r="76">
      <c r="A76" s="17" t="n"/>
      <c r="B76" s="17" t="n"/>
      <c r="C76" s="17" t="n"/>
      <c r="D76" s="18" t="n"/>
      <c r="E76" s="18" t="n"/>
      <c r="F76" s="19" t="n"/>
      <c r="G76" s="20" t="n"/>
      <c r="H76" s="21">
        <f>IF(AND(ISNUMBER(D76),ISNUMBER(E76)),E76-D76+1,"")</f>
        <v/>
      </c>
      <c r="I76" s="22">
        <f>IF(AND(ISNUMBER(F76),N(F76)&gt;0,ISNUMBER(G76)),G76/F76,"")</f>
        <v/>
      </c>
      <c r="J76" s="21">
        <f>IF(OR(A76="",B76=""),"",IF(C76=Yr_Cur,"CY",IF(C76=Yr_Prev,"PY","")))</f>
        <v/>
      </c>
      <c r="K76" s="21">
        <f>IF(J76="","",IF(J76="CY",SUMIFS(Dat_H,Dat_A,A76,Dat_B,B76,Dat_C,Yr_Prev),SUMIFS(Dat_H,Dat_A,A76,Dat_B,B76,Dat_C,Yr_Cur)))</f>
        <v/>
      </c>
      <c r="L76" s="21">
        <f>IF(J76="",0,IF(AND(ISNUMBER(H76),N(K76)&gt;0,ISNUMBER(F76),ISNUMBER(G76),OR(Sel_Market="All markets",A76=Sel_Market),COUNTIFS(Control!$B$11:$B$13,B76,Control!$C$11:$C$13,"Yes")&gt;0),1,0))</f>
        <v/>
      </c>
      <c r="M76" s="21">
        <f>IF(L76=1,IF(J76="CY",H76,K76),"")</f>
        <v/>
      </c>
      <c r="N76" s="21">
        <f>IF(L76=1,IF(J76="PY",H76,K76),"")</f>
        <v/>
      </c>
      <c r="O76" s="23">
        <f>IF(L76=1,IF(J76="PY",F76*M76/N76,F76),0)</f>
        <v/>
      </c>
      <c r="P76" s="23">
        <f>IF(L76=1,IF(J76="PY",G76*M76/N76,G76),0)</f>
        <v/>
      </c>
      <c r="Q76" s="23">
        <f>IF(AND(L76=1,J76="PY"),F76*(N76-M76)/N76,0)</f>
        <v/>
      </c>
      <c r="R76" s="23">
        <f>IF(AND(L76=1,J76="PY"),G76*(N76-M76)/N76,0)</f>
        <v/>
      </c>
      <c r="S76" s="21">
        <f>IF(COUNTA(A76:G76)=0,"",IF(OR(A76="",B76="",NOT(ISNUMBER(C76))),"Fill market, product and year",IF(COUNTIF(Control!$B$11:$B$13,B76)=0,"Unknown product",IF(COUNTIFS(Dat_A,A76,Dat_B,B76,Dat_C,C76)&gt;1,"Duplicate market/product/year",IF(OR(NOT(ISNUMBER(D76)),NOT(ISNUMBER(E76))),"Add launch date and Data through date",IF(E76&lt;D76,"Data through is before launch",IF(OR(NOT(ISNUMBER(F76)),NOT(ISNUMBER(G76))),"Add units and revenue","OK")))))))</f>
        <v/>
      </c>
    </row>
    <row r="77">
      <c r="A77" s="17" t="n"/>
      <c r="B77" s="17" t="n"/>
      <c r="C77" s="17" t="n"/>
      <c r="D77" s="18" t="n"/>
      <c r="E77" s="18" t="n"/>
      <c r="F77" s="19" t="n"/>
      <c r="G77" s="20" t="n"/>
      <c r="H77" s="21">
        <f>IF(AND(ISNUMBER(D77),ISNUMBER(E77)),E77-D77+1,"")</f>
        <v/>
      </c>
      <c r="I77" s="22">
        <f>IF(AND(ISNUMBER(F77),N(F77)&gt;0,ISNUMBER(G77)),G77/F77,"")</f>
        <v/>
      </c>
      <c r="J77" s="21">
        <f>IF(OR(A77="",B77=""),"",IF(C77=Yr_Cur,"CY",IF(C77=Yr_Prev,"PY","")))</f>
        <v/>
      </c>
      <c r="K77" s="21">
        <f>IF(J77="","",IF(J77="CY",SUMIFS(Dat_H,Dat_A,A77,Dat_B,B77,Dat_C,Yr_Prev),SUMIFS(Dat_H,Dat_A,A77,Dat_B,B77,Dat_C,Yr_Cur)))</f>
        <v/>
      </c>
      <c r="L77" s="21">
        <f>IF(J77="",0,IF(AND(ISNUMBER(H77),N(K77)&gt;0,ISNUMBER(F77),ISNUMBER(G77),OR(Sel_Market="All markets",A77=Sel_Market),COUNTIFS(Control!$B$11:$B$13,B77,Control!$C$11:$C$13,"Yes")&gt;0),1,0))</f>
        <v/>
      </c>
      <c r="M77" s="21">
        <f>IF(L77=1,IF(J77="CY",H77,K77),"")</f>
        <v/>
      </c>
      <c r="N77" s="21">
        <f>IF(L77=1,IF(J77="PY",H77,K77),"")</f>
        <v/>
      </c>
      <c r="O77" s="23">
        <f>IF(L77=1,IF(J77="PY",F77*M77/N77,F77),0)</f>
        <v/>
      </c>
      <c r="P77" s="23">
        <f>IF(L77=1,IF(J77="PY",G77*M77/N77,G77),0)</f>
        <v/>
      </c>
      <c r="Q77" s="23">
        <f>IF(AND(L77=1,J77="PY"),F77*(N77-M77)/N77,0)</f>
        <v/>
      </c>
      <c r="R77" s="23">
        <f>IF(AND(L77=1,J77="PY"),G77*(N77-M77)/N77,0)</f>
        <v/>
      </c>
      <c r="S77" s="21">
        <f>IF(COUNTA(A77:G77)=0,"",IF(OR(A77="",B77="",NOT(ISNUMBER(C77))),"Fill market, product and year",IF(COUNTIF(Control!$B$11:$B$13,B77)=0,"Unknown product",IF(COUNTIFS(Dat_A,A77,Dat_B,B77,Dat_C,C77)&gt;1,"Duplicate market/product/year",IF(OR(NOT(ISNUMBER(D77)),NOT(ISNUMBER(E77))),"Add launch date and Data through date",IF(E77&lt;D77,"Data through is before launch",IF(OR(NOT(ISNUMBER(F77)),NOT(ISNUMBER(G77))),"Add units and revenue","OK")))))))</f>
        <v/>
      </c>
    </row>
    <row r="78">
      <c r="A78" s="17" t="n"/>
      <c r="B78" s="17" t="n"/>
      <c r="C78" s="17" t="n"/>
      <c r="D78" s="18" t="n"/>
      <c r="E78" s="18" t="n"/>
      <c r="F78" s="19" t="n"/>
      <c r="G78" s="20" t="n"/>
      <c r="H78" s="21">
        <f>IF(AND(ISNUMBER(D78),ISNUMBER(E78)),E78-D78+1,"")</f>
        <v/>
      </c>
      <c r="I78" s="22">
        <f>IF(AND(ISNUMBER(F78),N(F78)&gt;0,ISNUMBER(G78)),G78/F78,"")</f>
        <v/>
      </c>
      <c r="J78" s="21">
        <f>IF(OR(A78="",B78=""),"",IF(C78=Yr_Cur,"CY",IF(C78=Yr_Prev,"PY","")))</f>
        <v/>
      </c>
      <c r="K78" s="21">
        <f>IF(J78="","",IF(J78="CY",SUMIFS(Dat_H,Dat_A,A78,Dat_B,B78,Dat_C,Yr_Prev),SUMIFS(Dat_H,Dat_A,A78,Dat_B,B78,Dat_C,Yr_Cur)))</f>
        <v/>
      </c>
      <c r="L78" s="21">
        <f>IF(J78="",0,IF(AND(ISNUMBER(H78),N(K78)&gt;0,ISNUMBER(F78),ISNUMBER(G78),OR(Sel_Market="All markets",A78=Sel_Market),COUNTIFS(Control!$B$11:$B$13,B78,Control!$C$11:$C$13,"Yes")&gt;0),1,0))</f>
        <v/>
      </c>
      <c r="M78" s="21">
        <f>IF(L78=1,IF(J78="CY",H78,K78),"")</f>
        <v/>
      </c>
      <c r="N78" s="21">
        <f>IF(L78=1,IF(J78="PY",H78,K78),"")</f>
        <v/>
      </c>
      <c r="O78" s="23">
        <f>IF(L78=1,IF(J78="PY",F78*M78/N78,F78),0)</f>
        <v/>
      </c>
      <c r="P78" s="23">
        <f>IF(L78=1,IF(J78="PY",G78*M78/N78,G78),0)</f>
        <v/>
      </c>
      <c r="Q78" s="23">
        <f>IF(AND(L78=1,J78="PY"),F78*(N78-M78)/N78,0)</f>
        <v/>
      </c>
      <c r="R78" s="23">
        <f>IF(AND(L78=1,J78="PY"),G78*(N78-M78)/N78,0)</f>
        <v/>
      </c>
      <c r="S78" s="21">
        <f>IF(COUNTA(A78:G78)=0,"",IF(OR(A78="",B78="",NOT(ISNUMBER(C78))),"Fill market, product and year",IF(COUNTIF(Control!$B$11:$B$13,B78)=0,"Unknown product",IF(COUNTIFS(Dat_A,A78,Dat_B,B78,Dat_C,C78)&gt;1,"Duplicate market/product/year",IF(OR(NOT(ISNUMBER(D78)),NOT(ISNUMBER(E78))),"Add launch date and Data through date",IF(E78&lt;D78,"Data through is before launch",IF(OR(NOT(ISNUMBER(F78)),NOT(ISNUMBER(G78))),"Add units and revenue","OK")))))))</f>
        <v/>
      </c>
    </row>
    <row r="79">
      <c r="A79" s="17" t="n"/>
      <c r="B79" s="17" t="n"/>
      <c r="C79" s="17" t="n"/>
      <c r="D79" s="18" t="n"/>
      <c r="E79" s="18" t="n"/>
      <c r="F79" s="19" t="n"/>
      <c r="G79" s="20" t="n"/>
      <c r="H79" s="21">
        <f>IF(AND(ISNUMBER(D79),ISNUMBER(E79)),E79-D79+1,"")</f>
        <v/>
      </c>
      <c r="I79" s="22">
        <f>IF(AND(ISNUMBER(F79),N(F79)&gt;0,ISNUMBER(G79)),G79/F79,"")</f>
        <v/>
      </c>
      <c r="J79" s="21">
        <f>IF(OR(A79="",B79=""),"",IF(C79=Yr_Cur,"CY",IF(C79=Yr_Prev,"PY","")))</f>
        <v/>
      </c>
      <c r="K79" s="21">
        <f>IF(J79="","",IF(J79="CY",SUMIFS(Dat_H,Dat_A,A79,Dat_B,B79,Dat_C,Yr_Prev),SUMIFS(Dat_H,Dat_A,A79,Dat_B,B79,Dat_C,Yr_Cur)))</f>
        <v/>
      </c>
      <c r="L79" s="21">
        <f>IF(J79="",0,IF(AND(ISNUMBER(H79),N(K79)&gt;0,ISNUMBER(F79),ISNUMBER(G79),OR(Sel_Market="All markets",A79=Sel_Market),COUNTIFS(Control!$B$11:$B$13,B79,Control!$C$11:$C$13,"Yes")&gt;0),1,0))</f>
        <v/>
      </c>
      <c r="M79" s="21">
        <f>IF(L79=1,IF(J79="CY",H79,K79),"")</f>
        <v/>
      </c>
      <c r="N79" s="21">
        <f>IF(L79=1,IF(J79="PY",H79,K79),"")</f>
        <v/>
      </c>
      <c r="O79" s="23">
        <f>IF(L79=1,IF(J79="PY",F79*M79/N79,F79),0)</f>
        <v/>
      </c>
      <c r="P79" s="23">
        <f>IF(L79=1,IF(J79="PY",G79*M79/N79,G79),0)</f>
        <v/>
      </c>
      <c r="Q79" s="23">
        <f>IF(AND(L79=1,J79="PY"),F79*(N79-M79)/N79,0)</f>
        <v/>
      </c>
      <c r="R79" s="23">
        <f>IF(AND(L79=1,J79="PY"),G79*(N79-M79)/N79,0)</f>
        <v/>
      </c>
      <c r="S79" s="21">
        <f>IF(COUNTA(A79:G79)=0,"",IF(OR(A79="",B79="",NOT(ISNUMBER(C79))),"Fill market, product and year",IF(COUNTIF(Control!$B$11:$B$13,B79)=0,"Unknown product",IF(COUNTIFS(Dat_A,A79,Dat_B,B79,Dat_C,C79)&gt;1,"Duplicate market/product/year",IF(OR(NOT(ISNUMBER(D79)),NOT(ISNUMBER(E79))),"Add launch date and Data through date",IF(E79&lt;D79,"Data through is before launch",IF(OR(NOT(ISNUMBER(F79)),NOT(ISNUMBER(G79))),"Add units and revenue","OK")))))))</f>
        <v/>
      </c>
    </row>
    <row r="80">
      <c r="A80" s="17" t="n"/>
      <c r="B80" s="17" t="n"/>
      <c r="C80" s="17" t="n"/>
      <c r="D80" s="18" t="n"/>
      <c r="E80" s="18" t="n"/>
      <c r="F80" s="19" t="n"/>
      <c r="G80" s="20" t="n"/>
      <c r="H80" s="21">
        <f>IF(AND(ISNUMBER(D80),ISNUMBER(E80)),E80-D80+1,"")</f>
        <v/>
      </c>
      <c r="I80" s="22">
        <f>IF(AND(ISNUMBER(F80),N(F80)&gt;0,ISNUMBER(G80)),G80/F80,"")</f>
        <v/>
      </c>
      <c r="J80" s="21">
        <f>IF(OR(A80="",B80=""),"",IF(C80=Yr_Cur,"CY",IF(C80=Yr_Prev,"PY","")))</f>
        <v/>
      </c>
      <c r="K80" s="21">
        <f>IF(J80="","",IF(J80="CY",SUMIFS(Dat_H,Dat_A,A80,Dat_B,B80,Dat_C,Yr_Prev),SUMIFS(Dat_H,Dat_A,A80,Dat_B,B80,Dat_C,Yr_Cur)))</f>
        <v/>
      </c>
      <c r="L80" s="21">
        <f>IF(J80="",0,IF(AND(ISNUMBER(H80),N(K80)&gt;0,ISNUMBER(F80),ISNUMBER(G80),OR(Sel_Market="All markets",A80=Sel_Market),COUNTIFS(Control!$B$11:$B$13,B80,Control!$C$11:$C$13,"Yes")&gt;0),1,0))</f>
        <v/>
      </c>
      <c r="M80" s="21">
        <f>IF(L80=1,IF(J80="CY",H80,K80),"")</f>
        <v/>
      </c>
      <c r="N80" s="21">
        <f>IF(L80=1,IF(J80="PY",H80,K80),"")</f>
        <v/>
      </c>
      <c r="O80" s="23">
        <f>IF(L80=1,IF(J80="PY",F80*M80/N80,F80),0)</f>
        <v/>
      </c>
      <c r="P80" s="23">
        <f>IF(L80=1,IF(J80="PY",G80*M80/N80,G80),0)</f>
        <v/>
      </c>
      <c r="Q80" s="23">
        <f>IF(AND(L80=1,J80="PY"),F80*(N80-M80)/N80,0)</f>
        <v/>
      </c>
      <c r="R80" s="23">
        <f>IF(AND(L80=1,J80="PY"),G80*(N80-M80)/N80,0)</f>
        <v/>
      </c>
      <c r="S80" s="21">
        <f>IF(COUNTA(A80:G80)=0,"",IF(OR(A80="",B80="",NOT(ISNUMBER(C80))),"Fill market, product and year",IF(COUNTIF(Control!$B$11:$B$13,B80)=0,"Unknown product",IF(COUNTIFS(Dat_A,A80,Dat_B,B80,Dat_C,C80)&gt;1,"Duplicate market/product/year",IF(OR(NOT(ISNUMBER(D80)),NOT(ISNUMBER(E80))),"Add launch date and Data through date",IF(E80&lt;D80,"Data through is before launch",IF(OR(NOT(ISNUMBER(F80)),NOT(ISNUMBER(G80))),"Add units and revenue","OK")))))))</f>
        <v/>
      </c>
    </row>
    <row r="81">
      <c r="A81" s="17" t="n"/>
      <c r="B81" s="17" t="n"/>
      <c r="C81" s="17" t="n"/>
      <c r="D81" s="18" t="n"/>
      <c r="E81" s="18" t="n"/>
      <c r="F81" s="19" t="n"/>
      <c r="G81" s="20" t="n"/>
      <c r="H81" s="21">
        <f>IF(AND(ISNUMBER(D81),ISNUMBER(E81)),E81-D81+1,"")</f>
        <v/>
      </c>
      <c r="I81" s="22">
        <f>IF(AND(ISNUMBER(F81),N(F81)&gt;0,ISNUMBER(G81)),G81/F81,"")</f>
        <v/>
      </c>
      <c r="J81" s="21">
        <f>IF(OR(A81="",B81=""),"",IF(C81=Yr_Cur,"CY",IF(C81=Yr_Prev,"PY","")))</f>
        <v/>
      </c>
      <c r="K81" s="21">
        <f>IF(J81="","",IF(J81="CY",SUMIFS(Dat_H,Dat_A,A81,Dat_B,B81,Dat_C,Yr_Prev),SUMIFS(Dat_H,Dat_A,A81,Dat_B,B81,Dat_C,Yr_Cur)))</f>
        <v/>
      </c>
      <c r="L81" s="21">
        <f>IF(J81="",0,IF(AND(ISNUMBER(H81),N(K81)&gt;0,ISNUMBER(F81),ISNUMBER(G81),OR(Sel_Market="All markets",A81=Sel_Market),COUNTIFS(Control!$B$11:$B$13,B81,Control!$C$11:$C$13,"Yes")&gt;0),1,0))</f>
        <v/>
      </c>
      <c r="M81" s="21">
        <f>IF(L81=1,IF(J81="CY",H81,K81),"")</f>
        <v/>
      </c>
      <c r="N81" s="21">
        <f>IF(L81=1,IF(J81="PY",H81,K81),"")</f>
        <v/>
      </c>
      <c r="O81" s="23">
        <f>IF(L81=1,IF(J81="PY",F81*M81/N81,F81),0)</f>
        <v/>
      </c>
      <c r="P81" s="23">
        <f>IF(L81=1,IF(J81="PY",G81*M81/N81,G81),0)</f>
        <v/>
      </c>
      <c r="Q81" s="23">
        <f>IF(AND(L81=1,J81="PY"),F81*(N81-M81)/N81,0)</f>
        <v/>
      </c>
      <c r="R81" s="23">
        <f>IF(AND(L81=1,J81="PY"),G81*(N81-M81)/N81,0)</f>
        <v/>
      </c>
      <c r="S81" s="21">
        <f>IF(COUNTA(A81:G81)=0,"",IF(OR(A81="",B81="",NOT(ISNUMBER(C81))),"Fill market, product and year",IF(COUNTIF(Control!$B$11:$B$13,B81)=0,"Unknown product",IF(COUNTIFS(Dat_A,A81,Dat_B,B81,Dat_C,C81)&gt;1,"Duplicate market/product/year",IF(OR(NOT(ISNUMBER(D81)),NOT(ISNUMBER(E81))),"Add launch date and Data through date",IF(E81&lt;D81,"Data through is before launch",IF(OR(NOT(ISNUMBER(F81)),NOT(ISNUMBER(G81))),"Add units and revenue","OK")))))))</f>
        <v/>
      </c>
    </row>
    <row r="82">
      <c r="A82" s="17" t="n"/>
      <c r="B82" s="17" t="n"/>
      <c r="C82" s="17" t="n"/>
      <c r="D82" s="18" t="n"/>
      <c r="E82" s="18" t="n"/>
      <c r="F82" s="19" t="n"/>
      <c r="G82" s="20" t="n"/>
      <c r="H82" s="21">
        <f>IF(AND(ISNUMBER(D82),ISNUMBER(E82)),E82-D82+1,"")</f>
        <v/>
      </c>
      <c r="I82" s="22">
        <f>IF(AND(ISNUMBER(F82),N(F82)&gt;0,ISNUMBER(G82)),G82/F82,"")</f>
        <v/>
      </c>
      <c r="J82" s="21">
        <f>IF(OR(A82="",B82=""),"",IF(C82=Yr_Cur,"CY",IF(C82=Yr_Prev,"PY","")))</f>
        <v/>
      </c>
      <c r="K82" s="21">
        <f>IF(J82="","",IF(J82="CY",SUMIFS(Dat_H,Dat_A,A82,Dat_B,B82,Dat_C,Yr_Prev),SUMIFS(Dat_H,Dat_A,A82,Dat_B,B82,Dat_C,Yr_Cur)))</f>
        <v/>
      </c>
      <c r="L82" s="21">
        <f>IF(J82="",0,IF(AND(ISNUMBER(H82),N(K82)&gt;0,ISNUMBER(F82),ISNUMBER(G82),OR(Sel_Market="All markets",A82=Sel_Market),COUNTIFS(Control!$B$11:$B$13,B82,Control!$C$11:$C$13,"Yes")&gt;0),1,0))</f>
        <v/>
      </c>
      <c r="M82" s="21">
        <f>IF(L82=1,IF(J82="CY",H82,K82),"")</f>
        <v/>
      </c>
      <c r="N82" s="21">
        <f>IF(L82=1,IF(J82="PY",H82,K82),"")</f>
        <v/>
      </c>
      <c r="O82" s="23">
        <f>IF(L82=1,IF(J82="PY",F82*M82/N82,F82),0)</f>
        <v/>
      </c>
      <c r="P82" s="23">
        <f>IF(L82=1,IF(J82="PY",G82*M82/N82,G82),0)</f>
        <v/>
      </c>
      <c r="Q82" s="23">
        <f>IF(AND(L82=1,J82="PY"),F82*(N82-M82)/N82,0)</f>
        <v/>
      </c>
      <c r="R82" s="23">
        <f>IF(AND(L82=1,J82="PY"),G82*(N82-M82)/N82,0)</f>
        <v/>
      </c>
      <c r="S82" s="21">
        <f>IF(COUNTA(A82:G82)=0,"",IF(OR(A82="",B82="",NOT(ISNUMBER(C82))),"Fill market, product and year",IF(COUNTIF(Control!$B$11:$B$13,B82)=0,"Unknown product",IF(COUNTIFS(Dat_A,A82,Dat_B,B82,Dat_C,C82)&gt;1,"Duplicate market/product/year",IF(OR(NOT(ISNUMBER(D82)),NOT(ISNUMBER(E82))),"Add launch date and Data through date",IF(E82&lt;D82,"Data through is before launch",IF(OR(NOT(ISNUMBER(F82)),NOT(ISNUMBER(G82))),"Add units and revenue","OK")))))))</f>
        <v/>
      </c>
    </row>
    <row r="83">
      <c r="A83" s="17" t="n"/>
      <c r="B83" s="17" t="n"/>
      <c r="C83" s="17" t="n"/>
      <c r="D83" s="18" t="n"/>
      <c r="E83" s="18" t="n"/>
      <c r="F83" s="19" t="n"/>
      <c r="G83" s="20" t="n"/>
      <c r="H83" s="21">
        <f>IF(AND(ISNUMBER(D83),ISNUMBER(E83)),E83-D83+1,"")</f>
        <v/>
      </c>
      <c r="I83" s="22">
        <f>IF(AND(ISNUMBER(F83),N(F83)&gt;0,ISNUMBER(G83)),G83/F83,"")</f>
        <v/>
      </c>
      <c r="J83" s="21">
        <f>IF(OR(A83="",B83=""),"",IF(C83=Yr_Cur,"CY",IF(C83=Yr_Prev,"PY","")))</f>
        <v/>
      </c>
      <c r="K83" s="21">
        <f>IF(J83="","",IF(J83="CY",SUMIFS(Dat_H,Dat_A,A83,Dat_B,B83,Dat_C,Yr_Prev),SUMIFS(Dat_H,Dat_A,A83,Dat_B,B83,Dat_C,Yr_Cur)))</f>
        <v/>
      </c>
      <c r="L83" s="21">
        <f>IF(J83="",0,IF(AND(ISNUMBER(H83),N(K83)&gt;0,ISNUMBER(F83),ISNUMBER(G83),OR(Sel_Market="All markets",A83=Sel_Market),COUNTIFS(Control!$B$11:$B$13,B83,Control!$C$11:$C$13,"Yes")&gt;0),1,0))</f>
        <v/>
      </c>
      <c r="M83" s="21">
        <f>IF(L83=1,IF(J83="CY",H83,K83),"")</f>
        <v/>
      </c>
      <c r="N83" s="21">
        <f>IF(L83=1,IF(J83="PY",H83,K83),"")</f>
        <v/>
      </c>
      <c r="O83" s="23">
        <f>IF(L83=1,IF(J83="PY",F83*M83/N83,F83),0)</f>
        <v/>
      </c>
      <c r="P83" s="23">
        <f>IF(L83=1,IF(J83="PY",G83*M83/N83,G83),0)</f>
        <v/>
      </c>
      <c r="Q83" s="23">
        <f>IF(AND(L83=1,J83="PY"),F83*(N83-M83)/N83,0)</f>
        <v/>
      </c>
      <c r="R83" s="23">
        <f>IF(AND(L83=1,J83="PY"),G83*(N83-M83)/N83,0)</f>
        <v/>
      </c>
      <c r="S83" s="21">
        <f>IF(COUNTA(A83:G83)=0,"",IF(OR(A83="",B83="",NOT(ISNUMBER(C83))),"Fill market, product and year",IF(COUNTIF(Control!$B$11:$B$13,B83)=0,"Unknown product",IF(COUNTIFS(Dat_A,A83,Dat_B,B83,Dat_C,C83)&gt;1,"Duplicate market/product/year",IF(OR(NOT(ISNUMBER(D83)),NOT(ISNUMBER(E83))),"Add launch date and Data through date",IF(E83&lt;D83,"Data through is before launch",IF(OR(NOT(ISNUMBER(F83)),NOT(ISNUMBER(G83))),"Add units and revenue","OK")))))))</f>
        <v/>
      </c>
    </row>
    <row r="84">
      <c r="A84" s="17" t="n"/>
      <c r="B84" s="17" t="n"/>
      <c r="C84" s="17" t="n"/>
      <c r="D84" s="18" t="n"/>
      <c r="E84" s="18" t="n"/>
      <c r="F84" s="19" t="n"/>
      <c r="G84" s="20" t="n"/>
      <c r="H84" s="21">
        <f>IF(AND(ISNUMBER(D84),ISNUMBER(E84)),E84-D84+1,"")</f>
        <v/>
      </c>
      <c r="I84" s="22">
        <f>IF(AND(ISNUMBER(F84),N(F84)&gt;0,ISNUMBER(G84)),G84/F84,"")</f>
        <v/>
      </c>
      <c r="J84" s="21">
        <f>IF(OR(A84="",B84=""),"",IF(C84=Yr_Cur,"CY",IF(C84=Yr_Prev,"PY","")))</f>
        <v/>
      </c>
      <c r="K84" s="21">
        <f>IF(J84="","",IF(J84="CY",SUMIFS(Dat_H,Dat_A,A84,Dat_B,B84,Dat_C,Yr_Prev),SUMIFS(Dat_H,Dat_A,A84,Dat_B,B84,Dat_C,Yr_Cur)))</f>
        <v/>
      </c>
      <c r="L84" s="21">
        <f>IF(J84="",0,IF(AND(ISNUMBER(H84),N(K84)&gt;0,ISNUMBER(F84),ISNUMBER(G84),OR(Sel_Market="All markets",A84=Sel_Market),COUNTIFS(Control!$B$11:$B$13,B84,Control!$C$11:$C$13,"Yes")&gt;0),1,0))</f>
        <v/>
      </c>
      <c r="M84" s="21">
        <f>IF(L84=1,IF(J84="CY",H84,K84),"")</f>
        <v/>
      </c>
      <c r="N84" s="21">
        <f>IF(L84=1,IF(J84="PY",H84,K84),"")</f>
        <v/>
      </c>
      <c r="O84" s="23">
        <f>IF(L84=1,IF(J84="PY",F84*M84/N84,F84),0)</f>
        <v/>
      </c>
      <c r="P84" s="23">
        <f>IF(L84=1,IF(J84="PY",G84*M84/N84,G84),0)</f>
        <v/>
      </c>
      <c r="Q84" s="23">
        <f>IF(AND(L84=1,J84="PY"),F84*(N84-M84)/N84,0)</f>
        <v/>
      </c>
      <c r="R84" s="23">
        <f>IF(AND(L84=1,J84="PY"),G84*(N84-M84)/N84,0)</f>
        <v/>
      </c>
      <c r="S84" s="21">
        <f>IF(COUNTA(A84:G84)=0,"",IF(OR(A84="",B84="",NOT(ISNUMBER(C84))),"Fill market, product and year",IF(COUNTIF(Control!$B$11:$B$13,B84)=0,"Unknown product",IF(COUNTIFS(Dat_A,A84,Dat_B,B84,Dat_C,C84)&gt;1,"Duplicate market/product/year",IF(OR(NOT(ISNUMBER(D84)),NOT(ISNUMBER(E84))),"Add launch date and Data through date",IF(E84&lt;D84,"Data through is before launch",IF(OR(NOT(ISNUMBER(F84)),NOT(ISNUMBER(G84))),"Add units and revenue","OK")))))))</f>
        <v/>
      </c>
    </row>
    <row r="85">
      <c r="A85" s="17" t="n"/>
      <c r="B85" s="17" t="n"/>
      <c r="C85" s="17" t="n"/>
      <c r="D85" s="18" t="n"/>
      <c r="E85" s="18" t="n"/>
      <c r="F85" s="19" t="n"/>
      <c r="G85" s="20" t="n"/>
      <c r="H85" s="21">
        <f>IF(AND(ISNUMBER(D85),ISNUMBER(E85)),E85-D85+1,"")</f>
        <v/>
      </c>
      <c r="I85" s="22">
        <f>IF(AND(ISNUMBER(F85),N(F85)&gt;0,ISNUMBER(G85)),G85/F85,"")</f>
        <v/>
      </c>
      <c r="J85" s="21">
        <f>IF(OR(A85="",B85=""),"",IF(C85=Yr_Cur,"CY",IF(C85=Yr_Prev,"PY","")))</f>
        <v/>
      </c>
      <c r="K85" s="21">
        <f>IF(J85="","",IF(J85="CY",SUMIFS(Dat_H,Dat_A,A85,Dat_B,B85,Dat_C,Yr_Prev),SUMIFS(Dat_H,Dat_A,A85,Dat_B,B85,Dat_C,Yr_Cur)))</f>
        <v/>
      </c>
      <c r="L85" s="21">
        <f>IF(J85="",0,IF(AND(ISNUMBER(H85),N(K85)&gt;0,ISNUMBER(F85),ISNUMBER(G85),OR(Sel_Market="All markets",A85=Sel_Market),COUNTIFS(Control!$B$11:$B$13,B85,Control!$C$11:$C$13,"Yes")&gt;0),1,0))</f>
        <v/>
      </c>
      <c r="M85" s="21">
        <f>IF(L85=1,IF(J85="CY",H85,K85),"")</f>
        <v/>
      </c>
      <c r="N85" s="21">
        <f>IF(L85=1,IF(J85="PY",H85,K85),"")</f>
        <v/>
      </c>
      <c r="O85" s="23">
        <f>IF(L85=1,IF(J85="PY",F85*M85/N85,F85),0)</f>
        <v/>
      </c>
      <c r="P85" s="23">
        <f>IF(L85=1,IF(J85="PY",G85*M85/N85,G85),0)</f>
        <v/>
      </c>
      <c r="Q85" s="23">
        <f>IF(AND(L85=1,J85="PY"),F85*(N85-M85)/N85,0)</f>
        <v/>
      </c>
      <c r="R85" s="23">
        <f>IF(AND(L85=1,J85="PY"),G85*(N85-M85)/N85,0)</f>
        <v/>
      </c>
      <c r="S85" s="21">
        <f>IF(COUNTA(A85:G85)=0,"",IF(OR(A85="",B85="",NOT(ISNUMBER(C85))),"Fill market, product and year",IF(COUNTIF(Control!$B$11:$B$13,B85)=0,"Unknown product",IF(COUNTIFS(Dat_A,A85,Dat_B,B85,Dat_C,C85)&gt;1,"Duplicate market/product/year",IF(OR(NOT(ISNUMBER(D85)),NOT(ISNUMBER(E85))),"Add launch date and Data through date",IF(E85&lt;D85,"Data through is before launch",IF(OR(NOT(ISNUMBER(F85)),NOT(ISNUMBER(G85))),"Add units and revenue","OK")))))))</f>
        <v/>
      </c>
    </row>
    <row r="86">
      <c r="A86" s="17" t="n"/>
      <c r="B86" s="17" t="n"/>
      <c r="C86" s="17" t="n"/>
      <c r="D86" s="18" t="n"/>
      <c r="E86" s="18" t="n"/>
      <c r="F86" s="19" t="n"/>
      <c r="G86" s="20" t="n"/>
      <c r="H86" s="21">
        <f>IF(AND(ISNUMBER(D86),ISNUMBER(E86)),E86-D86+1,"")</f>
        <v/>
      </c>
      <c r="I86" s="22">
        <f>IF(AND(ISNUMBER(F86),N(F86)&gt;0,ISNUMBER(G86)),G86/F86,"")</f>
        <v/>
      </c>
      <c r="J86" s="21">
        <f>IF(OR(A86="",B86=""),"",IF(C86=Yr_Cur,"CY",IF(C86=Yr_Prev,"PY","")))</f>
        <v/>
      </c>
      <c r="K86" s="21">
        <f>IF(J86="","",IF(J86="CY",SUMIFS(Dat_H,Dat_A,A86,Dat_B,B86,Dat_C,Yr_Prev),SUMIFS(Dat_H,Dat_A,A86,Dat_B,B86,Dat_C,Yr_Cur)))</f>
        <v/>
      </c>
      <c r="L86" s="21">
        <f>IF(J86="",0,IF(AND(ISNUMBER(H86),N(K86)&gt;0,ISNUMBER(F86),ISNUMBER(G86),OR(Sel_Market="All markets",A86=Sel_Market),COUNTIFS(Control!$B$11:$B$13,B86,Control!$C$11:$C$13,"Yes")&gt;0),1,0))</f>
        <v/>
      </c>
      <c r="M86" s="21">
        <f>IF(L86=1,IF(J86="CY",H86,K86),"")</f>
        <v/>
      </c>
      <c r="N86" s="21">
        <f>IF(L86=1,IF(J86="PY",H86,K86),"")</f>
        <v/>
      </c>
      <c r="O86" s="23">
        <f>IF(L86=1,IF(J86="PY",F86*M86/N86,F86),0)</f>
        <v/>
      </c>
      <c r="P86" s="23">
        <f>IF(L86=1,IF(J86="PY",G86*M86/N86,G86),0)</f>
        <v/>
      </c>
      <c r="Q86" s="23">
        <f>IF(AND(L86=1,J86="PY"),F86*(N86-M86)/N86,0)</f>
        <v/>
      </c>
      <c r="R86" s="23">
        <f>IF(AND(L86=1,J86="PY"),G86*(N86-M86)/N86,0)</f>
        <v/>
      </c>
      <c r="S86" s="21">
        <f>IF(COUNTA(A86:G86)=0,"",IF(OR(A86="",B86="",NOT(ISNUMBER(C86))),"Fill market, product and year",IF(COUNTIF(Control!$B$11:$B$13,B86)=0,"Unknown product",IF(COUNTIFS(Dat_A,A86,Dat_B,B86,Dat_C,C86)&gt;1,"Duplicate market/product/year",IF(OR(NOT(ISNUMBER(D86)),NOT(ISNUMBER(E86))),"Add launch date and Data through date",IF(E86&lt;D86,"Data through is before launch",IF(OR(NOT(ISNUMBER(F86)),NOT(ISNUMBER(G86))),"Add units and revenue","OK")))))))</f>
        <v/>
      </c>
    </row>
    <row r="87">
      <c r="A87" s="17" t="n"/>
      <c r="B87" s="17" t="n"/>
      <c r="C87" s="17" t="n"/>
      <c r="D87" s="18" t="n"/>
      <c r="E87" s="18" t="n"/>
      <c r="F87" s="19" t="n"/>
      <c r="G87" s="20" t="n"/>
      <c r="H87" s="21">
        <f>IF(AND(ISNUMBER(D87),ISNUMBER(E87)),E87-D87+1,"")</f>
        <v/>
      </c>
      <c r="I87" s="22">
        <f>IF(AND(ISNUMBER(F87),N(F87)&gt;0,ISNUMBER(G87)),G87/F87,"")</f>
        <v/>
      </c>
      <c r="J87" s="21">
        <f>IF(OR(A87="",B87=""),"",IF(C87=Yr_Cur,"CY",IF(C87=Yr_Prev,"PY","")))</f>
        <v/>
      </c>
      <c r="K87" s="21">
        <f>IF(J87="","",IF(J87="CY",SUMIFS(Dat_H,Dat_A,A87,Dat_B,B87,Dat_C,Yr_Prev),SUMIFS(Dat_H,Dat_A,A87,Dat_B,B87,Dat_C,Yr_Cur)))</f>
        <v/>
      </c>
      <c r="L87" s="21">
        <f>IF(J87="",0,IF(AND(ISNUMBER(H87),N(K87)&gt;0,ISNUMBER(F87),ISNUMBER(G87),OR(Sel_Market="All markets",A87=Sel_Market),COUNTIFS(Control!$B$11:$B$13,B87,Control!$C$11:$C$13,"Yes")&gt;0),1,0))</f>
        <v/>
      </c>
      <c r="M87" s="21">
        <f>IF(L87=1,IF(J87="CY",H87,K87),"")</f>
        <v/>
      </c>
      <c r="N87" s="21">
        <f>IF(L87=1,IF(J87="PY",H87,K87),"")</f>
        <v/>
      </c>
      <c r="O87" s="23">
        <f>IF(L87=1,IF(J87="PY",F87*M87/N87,F87),0)</f>
        <v/>
      </c>
      <c r="P87" s="23">
        <f>IF(L87=1,IF(J87="PY",G87*M87/N87,G87),0)</f>
        <v/>
      </c>
      <c r="Q87" s="23">
        <f>IF(AND(L87=1,J87="PY"),F87*(N87-M87)/N87,0)</f>
        <v/>
      </c>
      <c r="R87" s="23">
        <f>IF(AND(L87=1,J87="PY"),G87*(N87-M87)/N87,0)</f>
        <v/>
      </c>
      <c r="S87" s="21">
        <f>IF(COUNTA(A87:G87)=0,"",IF(OR(A87="",B87="",NOT(ISNUMBER(C87))),"Fill market, product and year",IF(COUNTIF(Control!$B$11:$B$13,B87)=0,"Unknown product",IF(COUNTIFS(Dat_A,A87,Dat_B,B87,Dat_C,C87)&gt;1,"Duplicate market/product/year",IF(OR(NOT(ISNUMBER(D87)),NOT(ISNUMBER(E87))),"Add launch date and Data through date",IF(E87&lt;D87,"Data through is before launch",IF(OR(NOT(ISNUMBER(F87)),NOT(ISNUMBER(G87))),"Add units and revenue","OK")))))))</f>
        <v/>
      </c>
    </row>
    <row r="88">
      <c r="A88" s="17" t="n"/>
      <c r="B88" s="17" t="n"/>
      <c r="C88" s="17" t="n"/>
      <c r="D88" s="18" t="n"/>
      <c r="E88" s="18" t="n"/>
      <c r="F88" s="19" t="n"/>
      <c r="G88" s="20" t="n"/>
      <c r="H88" s="21">
        <f>IF(AND(ISNUMBER(D88),ISNUMBER(E88)),E88-D88+1,"")</f>
        <v/>
      </c>
      <c r="I88" s="22">
        <f>IF(AND(ISNUMBER(F88),N(F88)&gt;0,ISNUMBER(G88)),G88/F88,"")</f>
        <v/>
      </c>
      <c r="J88" s="21">
        <f>IF(OR(A88="",B88=""),"",IF(C88=Yr_Cur,"CY",IF(C88=Yr_Prev,"PY","")))</f>
        <v/>
      </c>
      <c r="K88" s="21">
        <f>IF(J88="","",IF(J88="CY",SUMIFS(Dat_H,Dat_A,A88,Dat_B,B88,Dat_C,Yr_Prev),SUMIFS(Dat_H,Dat_A,A88,Dat_B,B88,Dat_C,Yr_Cur)))</f>
        <v/>
      </c>
      <c r="L88" s="21">
        <f>IF(J88="",0,IF(AND(ISNUMBER(H88),N(K88)&gt;0,ISNUMBER(F88),ISNUMBER(G88),OR(Sel_Market="All markets",A88=Sel_Market),COUNTIFS(Control!$B$11:$B$13,B88,Control!$C$11:$C$13,"Yes")&gt;0),1,0))</f>
        <v/>
      </c>
      <c r="M88" s="21">
        <f>IF(L88=1,IF(J88="CY",H88,K88),"")</f>
        <v/>
      </c>
      <c r="N88" s="21">
        <f>IF(L88=1,IF(J88="PY",H88,K88),"")</f>
        <v/>
      </c>
      <c r="O88" s="23">
        <f>IF(L88=1,IF(J88="PY",F88*M88/N88,F88),0)</f>
        <v/>
      </c>
      <c r="P88" s="23">
        <f>IF(L88=1,IF(J88="PY",G88*M88/N88,G88),0)</f>
        <v/>
      </c>
      <c r="Q88" s="23">
        <f>IF(AND(L88=1,J88="PY"),F88*(N88-M88)/N88,0)</f>
        <v/>
      </c>
      <c r="R88" s="23">
        <f>IF(AND(L88=1,J88="PY"),G88*(N88-M88)/N88,0)</f>
        <v/>
      </c>
      <c r="S88" s="21">
        <f>IF(COUNTA(A88:G88)=0,"",IF(OR(A88="",B88="",NOT(ISNUMBER(C88))),"Fill market, product and year",IF(COUNTIF(Control!$B$11:$B$13,B88)=0,"Unknown product",IF(COUNTIFS(Dat_A,A88,Dat_B,B88,Dat_C,C88)&gt;1,"Duplicate market/product/year",IF(OR(NOT(ISNUMBER(D88)),NOT(ISNUMBER(E88))),"Add launch date and Data through date",IF(E88&lt;D88,"Data through is before launch",IF(OR(NOT(ISNUMBER(F88)),NOT(ISNUMBER(G88))),"Add units and revenue","OK")))))))</f>
        <v/>
      </c>
    </row>
    <row r="89">
      <c r="A89" s="17" t="n"/>
      <c r="B89" s="17" t="n"/>
      <c r="C89" s="17" t="n"/>
      <c r="D89" s="18" t="n"/>
      <c r="E89" s="18" t="n"/>
      <c r="F89" s="19" t="n"/>
      <c r="G89" s="20" t="n"/>
      <c r="H89" s="21">
        <f>IF(AND(ISNUMBER(D89),ISNUMBER(E89)),E89-D89+1,"")</f>
        <v/>
      </c>
      <c r="I89" s="22">
        <f>IF(AND(ISNUMBER(F89),N(F89)&gt;0,ISNUMBER(G89)),G89/F89,"")</f>
        <v/>
      </c>
      <c r="J89" s="21">
        <f>IF(OR(A89="",B89=""),"",IF(C89=Yr_Cur,"CY",IF(C89=Yr_Prev,"PY","")))</f>
        <v/>
      </c>
      <c r="K89" s="21">
        <f>IF(J89="","",IF(J89="CY",SUMIFS(Dat_H,Dat_A,A89,Dat_B,B89,Dat_C,Yr_Prev),SUMIFS(Dat_H,Dat_A,A89,Dat_B,B89,Dat_C,Yr_Cur)))</f>
        <v/>
      </c>
      <c r="L89" s="21">
        <f>IF(J89="",0,IF(AND(ISNUMBER(H89),N(K89)&gt;0,ISNUMBER(F89),ISNUMBER(G89),OR(Sel_Market="All markets",A89=Sel_Market),COUNTIFS(Control!$B$11:$B$13,B89,Control!$C$11:$C$13,"Yes")&gt;0),1,0))</f>
        <v/>
      </c>
      <c r="M89" s="21">
        <f>IF(L89=1,IF(J89="CY",H89,K89),"")</f>
        <v/>
      </c>
      <c r="N89" s="21">
        <f>IF(L89=1,IF(J89="PY",H89,K89),"")</f>
        <v/>
      </c>
      <c r="O89" s="23">
        <f>IF(L89=1,IF(J89="PY",F89*M89/N89,F89),0)</f>
        <v/>
      </c>
      <c r="P89" s="23">
        <f>IF(L89=1,IF(J89="PY",G89*M89/N89,G89),0)</f>
        <v/>
      </c>
      <c r="Q89" s="23">
        <f>IF(AND(L89=1,J89="PY"),F89*(N89-M89)/N89,0)</f>
        <v/>
      </c>
      <c r="R89" s="23">
        <f>IF(AND(L89=1,J89="PY"),G89*(N89-M89)/N89,0)</f>
        <v/>
      </c>
      <c r="S89" s="21">
        <f>IF(COUNTA(A89:G89)=0,"",IF(OR(A89="",B89="",NOT(ISNUMBER(C89))),"Fill market, product and year",IF(COUNTIF(Control!$B$11:$B$13,B89)=0,"Unknown product",IF(COUNTIFS(Dat_A,A89,Dat_B,B89,Dat_C,C89)&gt;1,"Duplicate market/product/year",IF(OR(NOT(ISNUMBER(D89)),NOT(ISNUMBER(E89))),"Add launch date and Data through date",IF(E89&lt;D89,"Data through is before launch",IF(OR(NOT(ISNUMBER(F89)),NOT(ISNUMBER(G89))),"Add units and revenue","OK")))))))</f>
        <v/>
      </c>
    </row>
    <row r="90">
      <c r="A90" s="17" t="n"/>
      <c r="B90" s="17" t="n"/>
      <c r="C90" s="17" t="n"/>
      <c r="D90" s="18" t="n"/>
      <c r="E90" s="18" t="n"/>
      <c r="F90" s="19" t="n"/>
      <c r="G90" s="20" t="n"/>
      <c r="H90" s="21">
        <f>IF(AND(ISNUMBER(D90),ISNUMBER(E90)),E90-D90+1,"")</f>
        <v/>
      </c>
      <c r="I90" s="22">
        <f>IF(AND(ISNUMBER(F90),N(F90)&gt;0,ISNUMBER(G90)),G90/F90,"")</f>
        <v/>
      </c>
      <c r="J90" s="21">
        <f>IF(OR(A90="",B90=""),"",IF(C90=Yr_Cur,"CY",IF(C90=Yr_Prev,"PY","")))</f>
        <v/>
      </c>
      <c r="K90" s="21">
        <f>IF(J90="","",IF(J90="CY",SUMIFS(Dat_H,Dat_A,A90,Dat_B,B90,Dat_C,Yr_Prev),SUMIFS(Dat_H,Dat_A,A90,Dat_B,B90,Dat_C,Yr_Cur)))</f>
        <v/>
      </c>
      <c r="L90" s="21">
        <f>IF(J90="",0,IF(AND(ISNUMBER(H90),N(K90)&gt;0,ISNUMBER(F90),ISNUMBER(G90),OR(Sel_Market="All markets",A90=Sel_Market),COUNTIFS(Control!$B$11:$B$13,B90,Control!$C$11:$C$13,"Yes")&gt;0),1,0))</f>
        <v/>
      </c>
      <c r="M90" s="21">
        <f>IF(L90=1,IF(J90="CY",H90,K90),"")</f>
        <v/>
      </c>
      <c r="N90" s="21">
        <f>IF(L90=1,IF(J90="PY",H90,K90),"")</f>
        <v/>
      </c>
      <c r="O90" s="23">
        <f>IF(L90=1,IF(J90="PY",F90*M90/N90,F90),0)</f>
        <v/>
      </c>
      <c r="P90" s="23">
        <f>IF(L90=1,IF(J90="PY",G90*M90/N90,G90),0)</f>
        <v/>
      </c>
      <c r="Q90" s="23">
        <f>IF(AND(L90=1,J90="PY"),F90*(N90-M90)/N90,0)</f>
        <v/>
      </c>
      <c r="R90" s="23">
        <f>IF(AND(L90=1,J90="PY"),G90*(N90-M90)/N90,0)</f>
        <v/>
      </c>
      <c r="S90" s="21">
        <f>IF(COUNTA(A90:G90)=0,"",IF(OR(A90="",B90="",NOT(ISNUMBER(C90))),"Fill market, product and year",IF(COUNTIF(Control!$B$11:$B$13,B90)=0,"Unknown product",IF(COUNTIFS(Dat_A,A90,Dat_B,B90,Dat_C,C90)&gt;1,"Duplicate market/product/year",IF(OR(NOT(ISNUMBER(D90)),NOT(ISNUMBER(E90))),"Add launch date and Data through date",IF(E90&lt;D90,"Data through is before launch",IF(OR(NOT(ISNUMBER(F90)),NOT(ISNUMBER(G90))),"Add units and revenue","OK")))))))</f>
        <v/>
      </c>
    </row>
    <row r="91">
      <c r="A91" s="17" t="n"/>
      <c r="B91" s="17" t="n"/>
      <c r="C91" s="17" t="n"/>
      <c r="D91" s="18" t="n"/>
      <c r="E91" s="18" t="n"/>
      <c r="F91" s="19" t="n"/>
      <c r="G91" s="20" t="n"/>
      <c r="H91" s="21">
        <f>IF(AND(ISNUMBER(D91),ISNUMBER(E91)),E91-D91+1,"")</f>
        <v/>
      </c>
      <c r="I91" s="22">
        <f>IF(AND(ISNUMBER(F91),N(F91)&gt;0,ISNUMBER(G91)),G91/F91,"")</f>
        <v/>
      </c>
      <c r="J91" s="21">
        <f>IF(OR(A91="",B91=""),"",IF(C91=Yr_Cur,"CY",IF(C91=Yr_Prev,"PY","")))</f>
        <v/>
      </c>
      <c r="K91" s="21">
        <f>IF(J91="","",IF(J91="CY",SUMIFS(Dat_H,Dat_A,A91,Dat_B,B91,Dat_C,Yr_Prev),SUMIFS(Dat_H,Dat_A,A91,Dat_B,B91,Dat_C,Yr_Cur)))</f>
        <v/>
      </c>
      <c r="L91" s="21">
        <f>IF(J91="",0,IF(AND(ISNUMBER(H91),N(K91)&gt;0,ISNUMBER(F91),ISNUMBER(G91),OR(Sel_Market="All markets",A91=Sel_Market),COUNTIFS(Control!$B$11:$B$13,B91,Control!$C$11:$C$13,"Yes")&gt;0),1,0))</f>
        <v/>
      </c>
      <c r="M91" s="21">
        <f>IF(L91=1,IF(J91="CY",H91,K91),"")</f>
        <v/>
      </c>
      <c r="N91" s="21">
        <f>IF(L91=1,IF(J91="PY",H91,K91),"")</f>
        <v/>
      </c>
      <c r="O91" s="23">
        <f>IF(L91=1,IF(J91="PY",F91*M91/N91,F91),0)</f>
        <v/>
      </c>
      <c r="P91" s="23">
        <f>IF(L91=1,IF(J91="PY",G91*M91/N91,G91),0)</f>
        <v/>
      </c>
      <c r="Q91" s="23">
        <f>IF(AND(L91=1,J91="PY"),F91*(N91-M91)/N91,0)</f>
        <v/>
      </c>
      <c r="R91" s="23">
        <f>IF(AND(L91=1,J91="PY"),G91*(N91-M91)/N91,0)</f>
        <v/>
      </c>
      <c r="S91" s="21">
        <f>IF(COUNTA(A91:G91)=0,"",IF(OR(A91="",B91="",NOT(ISNUMBER(C91))),"Fill market, product and year",IF(COUNTIF(Control!$B$11:$B$13,B91)=0,"Unknown product",IF(COUNTIFS(Dat_A,A91,Dat_B,B91,Dat_C,C91)&gt;1,"Duplicate market/product/year",IF(OR(NOT(ISNUMBER(D91)),NOT(ISNUMBER(E91))),"Add launch date and Data through date",IF(E91&lt;D91,"Data through is before launch",IF(OR(NOT(ISNUMBER(F91)),NOT(ISNUMBER(G91))),"Add units and revenue","OK")))))))</f>
        <v/>
      </c>
    </row>
    <row r="92">
      <c r="A92" s="17" t="n"/>
      <c r="B92" s="17" t="n"/>
      <c r="C92" s="17" t="n"/>
      <c r="D92" s="18" t="n"/>
      <c r="E92" s="18" t="n"/>
      <c r="F92" s="19" t="n"/>
      <c r="G92" s="20" t="n"/>
      <c r="H92" s="21">
        <f>IF(AND(ISNUMBER(D92),ISNUMBER(E92)),E92-D92+1,"")</f>
        <v/>
      </c>
      <c r="I92" s="22">
        <f>IF(AND(ISNUMBER(F92),N(F92)&gt;0,ISNUMBER(G92)),G92/F92,"")</f>
        <v/>
      </c>
      <c r="J92" s="21">
        <f>IF(OR(A92="",B92=""),"",IF(C92=Yr_Cur,"CY",IF(C92=Yr_Prev,"PY","")))</f>
        <v/>
      </c>
      <c r="K92" s="21">
        <f>IF(J92="","",IF(J92="CY",SUMIFS(Dat_H,Dat_A,A92,Dat_B,B92,Dat_C,Yr_Prev),SUMIFS(Dat_H,Dat_A,A92,Dat_B,B92,Dat_C,Yr_Cur)))</f>
        <v/>
      </c>
      <c r="L92" s="21">
        <f>IF(J92="",0,IF(AND(ISNUMBER(H92),N(K92)&gt;0,ISNUMBER(F92),ISNUMBER(G92),OR(Sel_Market="All markets",A92=Sel_Market),COUNTIFS(Control!$B$11:$B$13,B92,Control!$C$11:$C$13,"Yes")&gt;0),1,0))</f>
        <v/>
      </c>
      <c r="M92" s="21">
        <f>IF(L92=1,IF(J92="CY",H92,K92),"")</f>
        <v/>
      </c>
      <c r="N92" s="21">
        <f>IF(L92=1,IF(J92="PY",H92,K92),"")</f>
        <v/>
      </c>
      <c r="O92" s="23">
        <f>IF(L92=1,IF(J92="PY",F92*M92/N92,F92),0)</f>
        <v/>
      </c>
      <c r="P92" s="23">
        <f>IF(L92=1,IF(J92="PY",G92*M92/N92,G92),0)</f>
        <v/>
      </c>
      <c r="Q92" s="23">
        <f>IF(AND(L92=1,J92="PY"),F92*(N92-M92)/N92,0)</f>
        <v/>
      </c>
      <c r="R92" s="23">
        <f>IF(AND(L92=1,J92="PY"),G92*(N92-M92)/N92,0)</f>
        <v/>
      </c>
      <c r="S92" s="21">
        <f>IF(COUNTA(A92:G92)=0,"",IF(OR(A92="",B92="",NOT(ISNUMBER(C92))),"Fill market, product and year",IF(COUNTIF(Control!$B$11:$B$13,B92)=0,"Unknown product",IF(COUNTIFS(Dat_A,A92,Dat_B,B92,Dat_C,C92)&gt;1,"Duplicate market/product/year",IF(OR(NOT(ISNUMBER(D92)),NOT(ISNUMBER(E92))),"Add launch date and Data through date",IF(E92&lt;D92,"Data through is before launch",IF(OR(NOT(ISNUMBER(F92)),NOT(ISNUMBER(G92))),"Add units and revenue","OK")))))))</f>
        <v/>
      </c>
    </row>
    <row r="93">
      <c r="A93" s="17" t="n"/>
      <c r="B93" s="17" t="n"/>
      <c r="C93" s="17" t="n"/>
      <c r="D93" s="18" t="n"/>
      <c r="E93" s="18" t="n"/>
      <c r="F93" s="19" t="n"/>
      <c r="G93" s="20" t="n"/>
      <c r="H93" s="21">
        <f>IF(AND(ISNUMBER(D93),ISNUMBER(E93)),E93-D93+1,"")</f>
        <v/>
      </c>
      <c r="I93" s="22">
        <f>IF(AND(ISNUMBER(F93),N(F93)&gt;0,ISNUMBER(G93)),G93/F93,"")</f>
        <v/>
      </c>
      <c r="J93" s="21">
        <f>IF(OR(A93="",B93=""),"",IF(C93=Yr_Cur,"CY",IF(C93=Yr_Prev,"PY","")))</f>
        <v/>
      </c>
      <c r="K93" s="21">
        <f>IF(J93="","",IF(J93="CY",SUMIFS(Dat_H,Dat_A,A93,Dat_B,B93,Dat_C,Yr_Prev),SUMIFS(Dat_H,Dat_A,A93,Dat_B,B93,Dat_C,Yr_Cur)))</f>
        <v/>
      </c>
      <c r="L93" s="21">
        <f>IF(J93="",0,IF(AND(ISNUMBER(H93),N(K93)&gt;0,ISNUMBER(F93),ISNUMBER(G93),OR(Sel_Market="All markets",A93=Sel_Market),COUNTIFS(Control!$B$11:$B$13,B93,Control!$C$11:$C$13,"Yes")&gt;0),1,0))</f>
        <v/>
      </c>
      <c r="M93" s="21">
        <f>IF(L93=1,IF(J93="CY",H93,K93),"")</f>
        <v/>
      </c>
      <c r="N93" s="21">
        <f>IF(L93=1,IF(J93="PY",H93,K93),"")</f>
        <v/>
      </c>
      <c r="O93" s="23">
        <f>IF(L93=1,IF(J93="PY",F93*M93/N93,F93),0)</f>
        <v/>
      </c>
      <c r="P93" s="23">
        <f>IF(L93=1,IF(J93="PY",G93*M93/N93,G93),0)</f>
        <v/>
      </c>
      <c r="Q93" s="23">
        <f>IF(AND(L93=1,J93="PY"),F93*(N93-M93)/N93,0)</f>
        <v/>
      </c>
      <c r="R93" s="23">
        <f>IF(AND(L93=1,J93="PY"),G93*(N93-M93)/N93,0)</f>
        <v/>
      </c>
      <c r="S93" s="21">
        <f>IF(COUNTA(A93:G93)=0,"",IF(OR(A93="",B93="",NOT(ISNUMBER(C93))),"Fill market, product and year",IF(COUNTIF(Control!$B$11:$B$13,B93)=0,"Unknown product",IF(COUNTIFS(Dat_A,A93,Dat_B,B93,Dat_C,C93)&gt;1,"Duplicate market/product/year",IF(OR(NOT(ISNUMBER(D93)),NOT(ISNUMBER(E93))),"Add launch date and Data through date",IF(E93&lt;D93,"Data through is before launch",IF(OR(NOT(ISNUMBER(F93)),NOT(ISNUMBER(G93))),"Add units and revenue","OK")))))))</f>
        <v/>
      </c>
    </row>
    <row r="94">
      <c r="A94" s="17" t="n"/>
      <c r="B94" s="17" t="n"/>
      <c r="C94" s="17" t="n"/>
      <c r="D94" s="18" t="n"/>
      <c r="E94" s="18" t="n"/>
      <c r="F94" s="19" t="n"/>
      <c r="G94" s="20" t="n"/>
      <c r="H94" s="21">
        <f>IF(AND(ISNUMBER(D94),ISNUMBER(E94)),E94-D94+1,"")</f>
        <v/>
      </c>
      <c r="I94" s="22">
        <f>IF(AND(ISNUMBER(F94),N(F94)&gt;0,ISNUMBER(G94)),G94/F94,"")</f>
        <v/>
      </c>
      <c r="J94" s="21">
        <f>IF(OR(A94="",B94=""),"",IF(C94=Yr_Cur,"CY",IF(C94=Yr_Prev,"PY","")))</f>
        <v/>
      </c>
      <c r="K94" s="21">
        <f>IF(J94="","",IF(J94="CY",SUMIFS(Dat_H,Dat_A,A94,Dat_B,B94,Dat_C,Yr_Prev),SUMIFS(Dat_H,Dat_A,A94,Dat_B,B94,Dat_C,Yr_Cur)))</f>
        <v/>
      </c>
      <c r="L94" s="21">
        <f>IF(J94="",0,IF(AND(ISNUMBER(H94),N(K94)&gt;0,ISNUMBER(F94),ISNUMBER(G94),OR(Sel_Market="All markets",A94=Sel_Market),COUNTIFS(Control!$B$11:$B$13,B94,Control!$C$11:$C$13,"Yes")&gt;0),1,0))</f>
        <v/>
      </c>
      <c r="M94" s="21">
        <f>IF(L94=1,IF(J94="CY",H94,K94),"")</f>
        <v/>
      </c>
      <c r="N94" s="21">
        <f>IF(L94=1,IF(J94="PY",H94,K94),"")</f>
        <v/>
      </c>
      <c r="O94" s="23">
        <f>IF(L94=1,IF(J94="PY",F94*M94/N94,F94),0)</f>
        <v/>
      </c>
      <c r="P94" s="23">
        <f>IF(L94=1,IF(J94="PY",G94*M94/N94,G94),0)</f>
        <v/>
      </c>
      <c r="Q94" s="23">
        <f>IF(AND(L94=1,J94="PY"),F94*(N94-M94)/N94,0)</f>
        <v/>
      </c>
      <c r="R94" s="23">
        <f>IF(AND(L94=1,J94="PY"),G94*(N94-M94)/N94,0)</f>
        <v/>
      </c>
      <c r="S94" s="21">
        <f>IF(COUNTA(A94:G94)=0,"",IF(OR(A94="",B94="",NOT(ISNUMBER(C94))),"Fill market, product and year",IF(COUNTIF(Control!$B$11:$B$13,B94)=0,"Unknown product",IF(COUNTIFS(Dat_A,A94,Dat_B,B94,Dat_C,C94)&gt;1,"Duplicate market/product/year",IF(OR(NOT(ISNUMBER(D94)),NOT(ISNUMBER(E94))),"Add launch date and Data through date",IF(E94&lt;D94,"Data through is before launch",IF(OR(NOT(ISNUMBER(F94)),NOT(ISNUMBER(G94))),"Add units and revenue","OK")))))))</f>
        <v/>
      </c>
    </row>
    <row r="95">
      <c r="A95" s="17" t="n"/>
      <c r="B95" s="17" t="n"/>
      <c r="C95" s="17" t="n"/>
      <c r="D95" s="18" t="n"/>
      <c r="E95" s="18" t="n"/>
      <c r="F95" s="19" t="n"/>
      <c r="G95" s="20" t="n"/>
      <c r="H95" s="21">
        <f>IF(AND(ISNUMBER(D95),ISNUMBER(E95)),E95-D95+1,"")</f>
        <v/>
      </c>
      <c r="I95" s="22">
        <f>IF(AND(ISNUMBER(F95),N(F95)&gt;0,ISNUMBER(G95)),G95/F95,"")</f>
        <v/>
      </c>
      <c r="J95" s="21">
        <f>IF(OR(A95="",B95=""),"",IF(C95=Yr_Cur,"CY",IF(C95=Yr_Prev,"PY","")))</f>
        <v/>
      </c>
      <c r="K95" s="21">
        <f>IF(J95="","",IF(J95="CY",SUMIFS(Dat_H,Dat_A,A95,Dat_B,B95,Dat_C,Yr_Prev),SUMIFS(Dat_H,Dat_A,A95,Dat_B,B95,Dat_C,Yr_Cur)))</f>
        <v/>
      </c>
      <c r="L95" s="21">
        <f>IF(J95="",0,IF(AND(ISNUMBER(H95),N(K95)&gt;0,ISNUMBER(F95),ISNUMBER(G95),OR(Sel_Market="All markets",A95=Sel_Market),COUNTIFS(Control!$B$11:$B$13,B95,Control!$C$11:$C$13,"Yes")&gt;0),1,0))</f>
        <v/>
      </c>
      <c r="M95" s="21">
        <f>IF(L95=1,IF(J95="CY",H95,K95),"")</f>
        <v/>
      </c>
      <c r="N95" s="21">
        <f>IF(L95=1,IF(J95="PY",H95,K95),"")</f>
        <v/>
      </c>
      <c r="O95" s="23">
        <f>IF(L95=1,IF(J95="PY",F95*M95/N95,F95),0)</f>
        <v/>
      </c>
      <c r="P95" s="23">
        <f>IF(L95=1,IF(J95="PY",G95*M95/N95,G95),0)</f>
        <v/>
      </c>
      <c r="Q95" s="23">
        <f>IF(AND(L95=1,J95="PY"),F95*(N95-M95)/N95,0)</f>
        <v/>
      </c>
      <c r="R95" s="23">
        <f>IF(AND(L95=1,J95="PY"),G95*(N95-M95)/N95,0)</f>
        <v/>
      </c>
      <c r="S95" s="21">
        <f>IF(COUNTA(A95:G95)=0,"",IF(OR(A95="",B95="",NOT(ISNUMBER(C95))),"Fill market, product and year",IF(COUNTIF(Control!$B$11:$B$13,B95)=0,"Unknown product",IF(COUNTIFS(Dat_A,A95,Dat_B,B95,Dat_C,C95)&gt;1,"Duplicate market/product/year",IF(OR(NOT(ISNUMBER(D95)),NOT(ISNUMBER(E95))),"Add launch date and Data through date",IF(E95&lt;D95,"Data through is before launch",IF(OR(NOT(ISNUMBER(F95)),NOT(ISNUMBER(G95))),"Add units and revenue","OK")))))))</f>
        <v/>
      </c>
    </row>
    <row r="96">
      <c r="A96" s="17" t="n"/>
      <c r="B96" s="17" t="n"/>
      <c r="C96" s="17" t="n"/>
      <c r="D96" s="18" t="n"/>
      <c r="E96" s="18" t="n"/>
      <c r="F96" s="19" t="n"/>
      <c r="G96" s="20" t="n"/>
      <c r="H96" s="21">
        <f>IF(AND(ISNUMBER(D96),ISNUMBER(E96)),E96-D96+1,"")</f>
        <v/>
      </c>
      <c r="I96" s="22">
        <f>IF(AND(ISNUMBER(F96),N(F96)&gt;0,ISNUMBER(G96)),G96/F96,"")</f>
        <v/>
      </c>
      <c r="J96" s="21">
        <f>IF(OR(A96="",B96=""),"",IF(C96=Yr_Cur,"CY",IF(C96=Yr_Prev,"PY","")))</f>
        <v/>
      </c>
      <c r="K96" s="21">
        <f>IF(J96="","",IF(J96="CY",SUMIFS(Dat_H,Dat_A,A96,Dat_B,B96,Dat_C,Yr_Prev),SUMIFS(Dat_H,Dat_A,A96,Dat_B,B96,Dat_C,Yr_Cur)))</f>
        <v/>
      </c>
      <c r="L96" s="21">
        <f>IF(J96="",0,IF(AND(ISNUMBER(H96),N(K96)&gt;0,ISNUMBER(F96),ISNUMBER(G96),OR(Sel_Market="All markets",A96=Sel_Market),COUNTIFS(Control!$B$11:$B$13,B96,Control!$C$11:$C$13,"Yes")&gt;0),1,0))</f>
        <v/>
      </c>
      <c r="M96" s="21">
        <f>IF(L96=1,IF(J96="CY",H96,K96),"")</f>
        <v/>
      </c>
      <c r="N96" s="21">
        <f>IF(L96=1,IF(J96="PY",H96,K96),"")</f>
        <v/>
      </c>
      <c r="O96" s="23">
        <f>IF(L96=1,IF(J96="PY",F96*M96/N96,F96),0)</f>
        <v/>
      </c>
      <c r="P96" s="23">
        <f>IF(L96=1,IF(J96="PY",G96*M96/N96,G96),0)</f>
        <v/>
      </c>
      <c r="Q96" s="23">
        <f>IF(AND(L96=1,J96="PY"),F96*(N96-M96)/N96,0)</f>
        <v/>
      </c>
      <c r="R96" s="23">
        <f>IF(AND(L96=1,J96="PY"),G96*(N96-M96)/N96,0)</f>
        <v/>
      </c>
      <c r="S96" s="21">
        <f>IF(COUNTA(A96:G96)=0,"",IF(OR(A96="",B96="",NOT(ISNUMBER(C96))),"Fill market, product and year",IF(COUNTIF(Control!$B$11:$B$13,B96)=0,"Unknown product",IF(COUNTIFS(Dat_A,A96,Dat_B,B96,Dat_C,C96)&gt;1,"Duplicate market/product/year",IF(OR(NOT(ISNUMBER(D96)),NOT(ISNUMBER(E96))),"Add launch date and Data through date",IF(E96&lt;D96,"Data through is before launch",IF(OR(NOT(ISNUMBER(F96)),NOT(ISNUMBER(G96))),"Add units and revenue","OK")))))))</f>
        <v/>
      </c>
    </row>
    <row r="97">
      <c r="A97" s="17" t="n"/>
      <c r="B97" s="17" t="n"/>
      <c r="C97" s="17" t="n"/>
      <c r="D97" s="18" t="n"/>
      <c r="E97" s="18" t="n"/>
      <c r="F97" s="19" t="n"/>
      <c r="G97" s="20" t="n"/>
      <c r="H97" s="21">
        <f>IF(AND(ISNUMBER(D97),ISNUMBER(E97)),E97-D97+1,"")</f>
        <v/>
      </c>
      <c r="I97" s="22">
        <f>IF(AND(ISNUMBER(F97),N(F97)&gt;0,ISNUMBER(G97)),G97/F97,"")</f>
        <v/>
      </c>
      <c r="J97" s="21">
        <f>IF(OR(A97="",B97=""),"",IF(C97=Yr_Cur,"CY",IF(C97=Yr_Prev,"PY","")))</f>
        <v/>
      </c>
      <c r="K97" s="21">
        <f>IF(J97="","",IF(J97="CY",SUMIFS(Dat_H,Dat_A,A97,Dat_B,B97,Dat_C,Yr_Prev),SUMIFS(Dat_H,Dat_A,A97,Dat_B,B97,Dat_C,Yr_Cur)))</f>
        <v/>
      </c>
      <c r="L97" s="21">
        <f>IF(J97="",0,IF(AND(ISNUMBER(H97),N(K97)&gt;0,ISNUMBER(F97),ISNUMBER(G97),OR(Sel_Market="All markets",A97=Sel_Market),COUNTIFS(Control!$B$11:$B$13,B97,Control!$C$11:$C$13,"Yes")&gt;0),1,0))</f>
        <v/>
      </c>
      <c r="M97" s="21">
        <f>IF(L97=1,IF(J97="CY",H97,K97),"")</f>
        <v/>
      </c>
      <c r="N97" s="21">
        <f>IF(L97=1,IF(J97="PY",H97,K97),"")</f>
        <v/>
      </c>
      <c r="O97" s="23">
        <f>IF(L97=1,IF(J97="PY",F97*M97/N97,F97),0)</f>
        <v/>
      </c>
      <c r="P97" s="23">
        <f>IF(L97=1,IF(J97="PY",G97*M97/N97,G97),0)</f>
        <v/>
      </c>
      <c r="Q97" s="23">
        <f>IF(AND(L97=1,J97="PY"),F97*(N97-M97)/N97,0)</f>
        <v/>
      </c>
      <c r="R97" s="23">
        <f>IF(AND(L97=1,J97="PY"),G97*(N97-M97)/N97,0)</f>
        <v/>
      </c>
      <c r="S97" s="21">
        <f>IF(COUNTA(A97:G97)=0,"",IF(OR(A97="",B97="",NOT(ISNUMBER(C97))),"Fill market, product and year",IF(COUNTIF(Control!$B$11:$B$13,B97)=0,"Unknown product",IF(COUNTIFS(Dat_A,A97,Dat_B,B97,Dat_C,C97)&gt;1,"Duplicate market/product/year",IF(OR(NOT(ISNUMBER(D97)),NOT(ISNUMBER(E97))),"Add launch date and Data through date",IF(E97&lt;D97,"Data through is before launch",IF(OR(NOT(ISNUMBER(F97)),NOT(ISNUMBER(G97))),"Add units and revenue","OK")))))))</f>
        <v/>
      </c>
    </row>
    <row r="98">
      <c r="A98" s="17" t="n"/>
      <c r="B98" s="17" t="n"/>
      <c r="C98" s="17" t="n"/>
      <c r="D98" s="18" t="n"/>
      <c r="E98" s="18" t="n"/>
      <c r="F98" s="19" t="n"/>
      <c r="G98" s="20" t="n"/>
      <c r="H98" s="21">
        <f>IF(AND(ISNUMBER(D98),ISNUMBER(E98)),E98-D98+1,"")</f>
        <v/>
      </c>
      <c r="I98" s="22">
        <f>IF(AND(ISNUMBER(F98),N(F98)&gt;0,ISNUMBER(G98)),G98/F98,"")</f>
        <v/>
      </c>
      <c r="J98" s="21">
        <f>IF(OR(A98="",B98=""),"",IF(C98=Yr_Cur,"CY",IF(C98=Yr_Prev,"PY","")))</f>
        <v/>
      </c>
      <c r="K98" s="21">
        <f>IF(J98="","",IF(J98="CY",SUMIFS(Dat_H,Dat_A,A98,Dat_B,B98,Dat_C,Yr_Prev),SUMIFS(Dat_H,Dat_A,A98,Dat_B,B98,Dat_C,Yr_Cur)))</f>
        <v/>
      </c>
      <c r="L98" s="21">
        <f>IF(J98="",0,IF(AND(ISNUMBER(H98),N(K98)&gt;0,ISNUMBER(F98),ISNUMBER(G98),OR(Sel_Market="All markets",A98=Sel_Market),COUNTIFS(Control!$B$11:$B$13,B98,Control!$C$11:$C$13,"Yes")&gt;0),1,0))</f>
        <v/>
      </c>
      <c r="M98" s="21">
        <f>IF(L98=1,IF(J98="CY",H98,K98),"")</f>
        <v/>
      </c>
      <c r="N98" s="21">
        <f>IF(L98=1,IF(J98="PY",H98,K98),"")</f>
        <v/>
      </c>
      <c r="O98" s="23">
        <f>IF(L98=1,IF(J98="PY",F98*M98/N98,F98),0)</f>
        <v/>
      </c>
      <c r="P98" s="23">
        <f>IF(L98=1,IF(J98="PY",G98*M98/N98,G98),0)</f>
        <v/>
      </c>
      <c r="Q98" s="23">
        <f>IF(AND(L98=1,J98="PY"),F98*(N98-M98)/N98,0)</f>
        <v/>
      </c>
      <c r="R98" s="23">
        <f>IF(AND(L98=1,J98="PY"),G98*(N98-M98)/N98,0)</f>
        <v/>
      </c>
      <c r="S98" s="21">
        <f>IF(COUNTA(A98:G98)=0,"",IF(OR(A98="",B98="",NOT(ISNUMBER(C98))),"Fill market, product and year",IF(COUNTIF(Control!$B$11:$B$13,B98)=0,"Unknown product",IF(COUNTIFS(Dat_A,A98,Dat_B,B98,Dat_C,C98)&gt;1,"Duplicate market/product/year",IF(OR(NOT(ISNUMBER(D98)),NOT(ISNUMBER(E98))),"Add launch date and Data through date",IF(E98&lt;D98,"Data through is before launch",IF(OR(NOT(ISNUMBER(F98)),NOT(ISNUMBER(G98))),"Add units and revenue","OK")))))))</f>
        <v/>
      </c>
    </row>
    <row r="99">
      <c r="A99" s="17" t="n"/>
      <c r="B99" s="17" t="n"/>
      <c r="C99" s="17" t="n"/>
      <c r="D99" s="18" t="n"/>
      <c r="E99" s="18" t="n"/>
      <c r="F99" s="19" t="n"/>
      <c r="G99" s="20" t="n"/>
      <c r="H99" s="21">
        <f>IF(AND(ISNUMBER(D99),ISNUMBER(E99)),E99-D99+1,"")</f>
        <v/>
      </c>
      <c r="I99" s="22">
        <f>IF(AND(ISNUMBER(F99),N(F99)&gt;0,ISNUMBER(G99)),G99/F99,"")</f>
        <v/>
      </c>
      <c r="J99" s="21">
        <f>IF(OR(A99="",B99=""),"",IF(C99=Yr_Cur,"CY",IF(C99=Yr_Prev,"PY","")))</f>
        <v/>
      </c>
      <c r="K99" s="21">
        <f>IF(J99="","",IF(J99="CY",SUMIFS(Dat_H,Dat_A,A99,Dat_B,B99,Dat_C,Yr_Prev),SUMIFS(Dat_H,Dat_A,A99,Dat_B,B99,Dat_C,Yr_Cur)))</f>
        <v/>
      </c>
      <c r="L99" s="21">
        <f>IF(J99="",0,IF(AND(ISNUMBER(H99),N(K99)&gt;0,ISNUMBER(F99),ISNUMBER(G99),OR(Sel_Market="All markets",A99=Sel_Market),COUNTIFS(Control!$B$11:$B$13,B99,Control!$C$11:$C$13,"Yes")&gt;0),1,0))</f>
        <v/>
      </c>
      <c r="M99" s="21">
        <f>IF(L99=1,IF(J99="CY",H99,K99),"")</f>
        <v/>
      </c>
      <c r="N99" s="21">
        <f>IF(L99=1,IF(J99="PY",H99,K99),"")</f>
        <v/>
      </c>
      <c r="O99" s="23">
        <f>IF(L99=1,IF(J99="PY",F99*M99/N99,F99),0)</f>
        <v/>
      </c>
      <c r="P99" s="23">
        <f>IF(L99=1,IF(J99="PY",G99*M99/N99,G99),0)</f>
        <v/>
      </c>
      <c r="Q99" s="23">
        <f>IF(AND(L99=1,J99="PY"),F99*(N99-M99)/N99,0)</f>
        <v/>
      </c>
      <c r="R99" s="23">
        <f>IF(AND(L99=1,J99="PY"),G99*(N99-M99)/N99,0)</f>
        <v/>
      </c>
      <c r="S99" s="21">
        <f>IF(COUNTA(A99:G99)=0,"",IF(OR(A99="",B99="",NOT(ISNUMBER(C99))),"Fill market, product and year",IF(COUNTIF(Control!$B$11:$B$13,B99)=0,"Unknown product",IF(COUNTIFS(Dat_A,A99,Dat_B,B99,Dat_C,C99)&gt;1,"Duplicate market/product/year",IF(OR(NOT(ISNUMBER(D99)),NOT(ISNUMBER(E99))),"Add launch date and Data through date",IF(E99&lt;D99,"Data through is before launch",IF(OR(NOT(ISNUMBER(F99)),NOT(ISNUMBER(G99))),"Add units and revenue","OK")))))))</f>
        <v/>
      </c>
    </row>
    <row r="100">
      <c r="A100" s="17" t="n"/>
      <c r="B100" s="17" t="n"/>
      <c r="C100" s="17" t="n"/>
      <c r="D100" s="18" t="n"/>
      <c r="E100" s="18" t="n"/>
      <c r="F100" s="19" t="n"/>
      <c r="G100" s="20" t="n"/>
      <c r="H100" s="21">
        <f>IF(AND(ISNUMBER(D100),ISNUMBER(E100)),E100-D100+1,"")</f>
        <v/>
      </c>
      <c r="I100" s="22">
        <f>IF(AND(ISNUMBER(F100),N(F100)&gt;0,ISNUMBER(G100)),G100/F100,"")</f>
        <v/>
      </c>
      <c r="J100" s="21">
        <f>IF(OR(A100="",B100=""),"",IF(C100=Yr_Cur,"CY",IF(C100=Yr_Prev,"PY","")))</f>
        <v/>
      </c>
      <c r="K100" s="21">
        <f>IF(J100="","",IF(J100="CY",SUMIFS(Dat_H,Dat_A,A100,Dat_B,B100,Dat_C,Yr_Prev),SUMIFS(Dat_H,Dat_A,A100,Dat_B,B100,Dat_C,Yr_Cur)))</f>
        <v/>
      </c>
      <c r="L100" s="21">
        <f>IF(J100="",0,IF(AND(ISNUMBER(H100),N(K100)&gt;0,ISNUMBER(F100),ISNUMBER(G100),OR(Sel_Market="All markets",A100=Sel_Market),COUNTIFS(Control!$B$11:$B$13,B100,Control!$C$11:$C$13,"Yes")&gt;0),1,0))</f>
        <v/>
      </c>
      <c r="M100" s="21">
        <f>IF(L100=1,IF(J100="CY",H100,K100),"")</f>
        <v/>
      </c>
      <c r="N100" s="21">
        <f>IF(L100=1,IF(J100="PY",H100,K100),"")</f>
        <v/>
      </c>
      <c r="O100" s="23">
        <f>IF(L100=1,IF(J100="PY",F100*M100/N100,F100),0)</f>
        <v/>
      </c>
      <c r="P100" s="23">
        <f>IF(L100=1,IF(J100="PY",G100*M100/N100,G100),0)</f>
        <v/>
      </c>
      <c r="Q100" s="23">
        <f>IF(AND(L100=1,J100="PY"),F100*(N100-M100)/N100,0)</f>
        <v/>
      </c>
      <c r="R100" s="23">
        <f>IF(AND(L100=1,J100="PY"),G100*(N100-M100)/N100,0)</f>
        <v/>
      </c>
      <c r="S100" s="21">
        <f>IF(COUNTA(A100:G100)=0,"",IF(OR(A100="",B100="",NOT(ISNUMBER(C100))),"Fill market, product and year",IF(COUNTIF(Control!$B$11:$B$13,B100)=0,"Unknown product",IF(COUNTIFS(Dat_A,A100,Dat_B,B100,Dat_C,C100)&gt;1,"Duplicate market/product/year",IF(OR(NOT(ISNUMBER(D100)),NOT(ISNUMBER(E100))),"Add launch date and Data through date",IF(E100&lt;D100,"Data through is before launch",IF(OR(NOT(ISNUMBER(F100)),NOT(ISNUMBER(G100))),"Add units and revenue","OK")))))))</f>
        <v/>
      </c>
    </row>
    <row r="101">
      <c r="A101" s="17" t="n"/>
      <c r="B101" s="17" t="n"/>
      <c r="C101" s="17" t="n"/>
      <c r="D101" s="18" t="n"/>
      <c r="E101" s="18" t="n"/>
      <c r="F101" s="19" t="n"/>
      <c r="G101" s="20" t="n"/>
      <c r="H101" s="21">
        <f>IF(AND(ISNUMBER(D101),ISNUMBER(E101)),E101-D101+1,"")</f>
        <v/>
      </c>
      <c r="I101" s="22">
        <f>IF(AND(ISNUMBER(F101),N(F101)&gt;0,ISNUMBER(G101)),G101/F101,"")</f>
        <v/>
      </c>
      <c r="J101" s="21">
        <f>IF(OR(A101="",B101=""),"",IF(C101=Yr_Cur,"CY",IF(C101=Yr_Prev,"PY","")))</f>
        <v/>
      </c>
      <c r="K101" s="21">
        <f>IF(J101="","",IF(J101="CY",SUMIFS(Dat_H,Dat_A,A101,Dat_B,B101,Dat_C,Yr_Prev),SUMIFS(Dat_H,Dat_A,A101,Dat_B,B101,Dat_C,Yr_Cur)))</f>
        <v/>
      </c>
      <c r="L101" s="21">
        <f>IF(J101="",0,IF(AND(ISNUMBER(H101),N(K101)&gt;0,ISNUMBER(F101),ISNUMBER(G101),OR(Sel_Market="All markets",A101=Sel_Market),COUNTIFS(Control!$B$11:$B$13,B101,Control!$C$11:$C$13,"Yes")&gt;0),1,0))</f>
        <v/>
      </c>
      <c r="M101" s="21">
        <f>IF(L101=1,IF(J101="CY",H101,K101),"")</f>
        <v/>
      </c>
      <c r="N101" s="21">
        <f>IF(L101=1,IF(J101="PY",H101,K101),"")</f>
        <v/>
      </c>
      <c r="O101" s="23">
        <f>IF(L101=1,IF(J101="PY",F101*M101/N101,F101),0)</f>
        <v/>
      </c>
      <c r="P101" s="23">
        <f>IF(L101=1,IF(J101="PY",G101*M101/N101,G101),0)</f>
        <v/>
      </c>
      <c r="Q101" s="23">
        <f>IF(AND(L101=1,J101="PY"),F101*(N101-M101)/N101,0)</f>
        <v/>
      </c>
      <c r="R101" s="23">
        <f>IF(AND(L101=1,J101="PY"),G101*(N101-M101)/N101,0)</f>
        <v/>
      </c>
      <c r="S101" s="21">
        <f>IF(COUNTA(A101:G101)=0,"",IF(OR(A101="",B101="",NOT(ISNUMBER(C101))),"Fill market, product and year",IF(COUNTIF(Control!$B$11:$B$13,B101)=0,"Unknown product",IF(COUNTIFS(Dat_A,A101,Dat_B,B101,Dat_C,C101)&gt;1,"Duplicate market/product/year",IF(OR(NOT(ISNUMBER(D101)),NOT(ISNUMBER(E101))),"Add launch date and Data through date",IF(E101&lt;D101,"Data through is before launch",IF(OR(NOT(ISNUMBER(F101)),NOT(ISNUMBER(G101))),"Add units and revenue","OK")))))))</f>
        <v/>
      </c>
    </row>
    <row r="102">
      <c r="A102" s="17" t="n"/>
      <c r="B102" s="17" t="n"/>
      <c r="C102" s="17" t="n"/>
      <c r="D102" s="18" t="n"/>
      <c r="E102" s="18" t="n"/>
      <c r="F102" s="19" t="n"/>
      <c r="G102" s="20" t="n"/>
      <c r="H102" s="21">
        <f>IF(AND(ISNUMBER(D102),ISNUMBER(E102)),E102-D102+1,"")</f>
        <v/>
      </c>
      <c r="I102" s="22">
        <f>IF(AND(ISNUMBER(F102),N(F102)&gt;0,ISNUMBER(G102)),G102/F102,"")</f>
        <v/>
      </c>
      <c r="J102" s="21">
        <f>IF(OR(A102="",B102=""),"",IF(C102=Yr_Cur,"CY",IF(C102=Yr_Prev,"PY","")))</f>
        <v/>
      </c>
      <c r="K102" s="21">
        <f>IF(J102="","",IF(J102="CY",SUMIFS(Dat_H,Dat_A,A102,Dat_B,B102,Dat_C,Yr_Prev),SUMIFS(Dat_H,Dat_A,A102,Dat_B,B102,Dat_C,Yr_Cur)))</f>
        <v/>
      </c>
      <c r="L102" s="21">
        <f>IF(J102="",0,IF(AND(ISNUMBER(H102),N(K102)&gt;0,ISNUMBER(F102),ISNUMBER(G102),OR(Sel_Market="All markets",A102=Sel_Market),COUNTIFS(Control!$B$11:$B$13,B102,Control!$C$11:$C$13,"Yes")&gt;0),1,0))</f>
        <v/>
      </c>
      <c r="M102" s="21">
        <f>IF(L102=1,IF(J102="CY",H102,K102),"")</f>
        <v/>
      </c>
      <c r="N102" s="21">
        <f>IF(L102=1,IF(J102="PY",H102,K102),"")</f>
        <v/>
      </c>
      <c r="O102" s="23">
        <f>IF(L102=1,IF(J102="PY",F102*M102/N102,F102),0)</f>
        <v/>
      </c>
      <c r="P102" s="23">
        <f>IF(L102=1,IF(J102="PY",G102*M102/N102,G102),0)</f>
        <v/>
      </c>
      <c r="Q102" s="23">
        <f>IF(AND(L102=1,J102="PY"),F102*(N102-M102)/N102,0)</f>
        <v/>
      </c>
      <c r="R102" s="23">
        <f>IF(AND(L102=1,J102="PY"),G102*(N102-M102)/N102,0)</f>
        <v/>
      </c>
      <c r="S102" s="21">
        <f>IF(COUNTA(A102:G102)=0,"",IF(OR(A102="",B102="",NOT(ISNUMBER(C102))),"Fill market, product and year",IF(COUNTIF(Control!$B$11:$B$13,B102)=0,"Unknown product",IF(COUNTIFS(Dat_A,A102,Dat_B,B102,Dat_C,C102)&gt;1,"Duplicate market/product/year",IF(OR(NOT(ISNUMBER(D102)),NOT(ISNUMBER(E102))),"Add launch date and Data through date",IF(E102&lt;D102,"Data through is before launch",IF(OR(NOT(ISNUMBER(F102)),NOT(ISNUMBER(G102))),"Add units and revenue","OK")))))))</f>
        <v/>
      </c>
    </row>
    <row r="103">
      <c r="A103" s="17" t="n"/>
      <c r="B103" s="17" t="n"/>
      <c r="C103" s="17" t="n"/>
      <c r="D103" s="18" t="n"/>
      <c r="E103" s="18" t="n"/>
      <c r="F103" s="19" t="n"/>
      <c r="G103" s="20" t="n"/>
      <c r="H103" s="21">
        <f>IF(AND(ISNUMBER(D103),ISNUMBER(E103)),E103-D103+1,"")</f>
        <v/>
      </c>
      <c r="I103" s="22">
        <f>IF(AND(ISNUMBER(F103),N(F103)&gt;0,ISNUMBER(G103)),G103/F103,"")</f>
        <v/>
      </c>
      <c r="J103" s="21">
        <f>IF(OR(A103="",B103=""),"",IF(C103=Yr_Cur,"CY",IF(C103=Yr_Prev,"PY","")))</f>
        <v/>
      </c>
      <c r="K103" s="21">
        <f>IF(J103="","",IF(J103="CY",SUMIFS(Dat_H,Dat_A,A103,Dat_B,B103,Dat_C,Yr_Prev),SUMIFS(Dat_H,Dat_A,A103,Dat_B,B103,Dat_C,Yr_Cur)))</f>
        <v/>
      </c>
      <c r="L103" s="21">
        <f>IF(J103="",0,IF(AND(ISNUMBER(H103),N(K103)&gt;0,ISNUMBER(F103),ISNUMBER(G103),OR(Sel_Market="All markets",A103=Sel_Market),COUNTIFS(Control!$B$11:$B$13,B103,Control!$C$11:$C$13,"Yes")&gt;0),1,0))</f>
        <v/>
      </c>
      <c r="M103" s="21">
        <f>IF(L103=1,IF(J103="CY",H103,K103),"")</f>
        <v/>
      </c>
      <c r="N103" s="21">
        <f>IF(L103=1,IF(J103="PY",H103,K103),"")</f>
        <v/>
      </c>
      <c r="O103" s="23">
        <f>IF(L103=1,IF(J103="PY",F103*M103/N103,F103),0)</f>
        <v/>
      </c>
      <c r="P103" s="23">
        <f>IF(L103=1,IF(J103="PY",G103*M103/N103,G103),0)</f>
        <v/>
      </c>
      <c r="Q103" s="23">
        <f>IF(AND(L103=1,J103="PY"),F103*(N103-M103)/N103,0)</f>
        <v/>
      </c>
      <c r="R103" s="23">
        <f>IF(AND(L103=1,J103="PY"),G103*(N103-M103)/N103,0)</f>
        <v/>
      </c>
      <c r="S103" s="21">
        <f>IF(COUNTA(A103:G103)=0,"",IF(OR(A103="",B103="",NOT(ISNUMBER(C103))),"Fill market, product and year",IF(COUNTIF(Control!$B$11:$B$13,B103)=0,"Unknown product",IF(COUNTIFS(Dat_A,A103,Dat_B,B103,Dat_C,C103)&gt;1,"Duplicate market/product/year",IF(OR(NOT(ISNUMBER(D103)),NOT(ISNUMBER(E103))),"Add launch date and Data through date",IF(E103&lt;D103,"Data through is before launch",IF(OR(NOT(ISNUMBER(F103)),NOT(ISNUMBER(G103))),"Add units and revenue","OK")))))))</f>
        <v/>
      </c>
    </row>
    <row r="104">
      <c r="A104" s="17" t="n"/>
      <c r="B104" s="17" t="n"/>
      <c r="C104" s="17" t="n"/>
      <c r="D104" s="18" t="n"/>
      <c r="E104" s="18" t="n"/>
      <c r="F104" s="19" t="n"/>
      <c r="G104" s="20" t="n"/>
      <c r="H104" s="21">
        <f>IF(AND(ISNUMBER(D104),ISNUMBER(E104)),E104-D104+1,"")</f>
        <v/>
      </c>
      <c r="I104" s="22">
        <f>IF(AND(ISNUMBER(F104),N(F104)&gt;0,ISNUMBER(G104)),G104/F104,"")</f>
        <v/>
      </c>
      <c r="J104" s="21">
        <f>IF(OR(A104="",B104=""),"",IF(C104=Yr_Cur,"CY",IF(C104=Yr_Prev,"PY","")))</f>
        <v/>
      </c>
      <c r="K104" s="21">
        <f>IF(J104="","",IF(J104="CY",SUMIFS(Dat_H,Dat_A,A104,Dat_B,B104,Dat_C,Yr_Prev),SUMIFS(Dat_H,Dat_A,A104,Dat_B,B104,Dat_C,Yr_Cur)))</f>
        <v/>
      </c>
      <c r="L104" s="21">
        <f>IF(J104="",0,IF(AND(ISNUMBER(H104),N(K104)&gt;0,ISNUMBER(F104),ISNUMBER(G104),OR(Sel_Market="All markets",A104=Sel_Market),COUNTIFS(Control!$B$11:$B$13,B104,Control!$C$11:$C$13,"Yes")&gt;0),1,0))</f>
        <v/>
      </c>
      <c r="M104" s="21">
        <f>IF(L104=1,IF(J104="CY",H104,K104),"")</f>
        <v/>
      </c>
      <c r="N104" s="21">
        <f>IF(L104=1,IF(J104="PY",H104,K104),"")</f>
        <v/>
      </c>
      <c r="O104" s="23">
        <f>IF(L104=1,IF(J104="PY",F104*M104/N104,F104),0)</f>
        <v/>
      </c>
      <c r="P104" s="23">
        <f>IF(L104=1,IF(J104="PY",G104*M104/N104,G104),0)</f>
        <v/>
      </c>
      <c r="Q104" s="23">
        <f>IF(AND(L104=1,J104="PY"),F104*(N104-M104)/N104,0)</f>
        <v/>
      </c>
      <c r="R104" s="23">
        <f>IF(AND(L104=1,J104="PY"),G104*(N104-M104)/N104,0)</f>
        <v/>
      </c>
      <c r="S104" s="21">
        <f>IF(COUNTA(A104:G104)=0,"",IF(OR(A104="",B104="",NOT(ISNUMBER(C104))),"Fill market, product and year",IF(COUNTIF(Control!$B$11:$B$13,B104)=0,"Unknown product",IF(COUNTIFS(Dat_A,A104,Dat_B,B104,Dat_C,C104)&gt;1,"Duplicate market/product/year",IF(OR(NOT(ISNUMBER(D104)),NOT(ISNUMBER(E104))),"Add launch date and Data through date",IF(E104&lt;D104,"Data through is before launch",IF(OR(NOT(ISNUMBER(F104)),NOT(ISNUMBER(G104))),"Add units and revenue","OK")))))))</f>
        <v/>
      </c>
    </row>
    <row r="105">
      <c r="A105" s="17" t="n"/>
      <c r="B105" s="17" t="n"/>
      <c r="C105" s="17" t="n"/>
      <c r="D105" s="18" t="n"/>
      <c r="E105" s="18" t="n"/>
      <c r="F105" s="19" t="n"/>
      <c r="G105" s="20" t="n"/>
      <c r="H105" s="21">
        <f>IF(AND(ISNUMBER(D105),ISNUMBER(E105)),E105-D105+1,"")</f>
        <v/>
      </c>
      <c r="I105" s="22">
        <f>IF(AND(ISNUMBER(F105),N(F105)&gt;0,ISNUMBER(G105)),G105/F105,"")</f>
        <v/>
      </c>
      <c r="J105" s="21">
        <f>IF(OR(A105="",B105=""),"",IF(C105=Yr_Cur,"CY",IF(C105=Yr_Prev,"PY","")))</f>
        <v/>
      </c>
      <c r="K105" s="21">
        <f>IF(J105="","",IF(J105="CY",SUMIFS(Dat_H,Dat_A,A105,Dat_B,B105,Dat_C,Yr_Prev),SUMIFS(Dat_H,Dat_A,A105,Dat_B,B105,Dat_C,Yr_Cur)))</f>
        <v/>
      </c>
      <c r="L105" s="21">
        <f>IF(J105="",0,IF(AND(ISNUMBER(H105),N(K105)&gt;0,ISNUMBER(F105),ISNUMBER(G105),OR(Sel_Market="All markets",A105=Sel_Market),COUNTIFS(Control!$B$11:$B$13,B105,Control!$C$11:$C$13,"Yes")&gt;0),1,0))</f>
        <v/>
      </c>
      <c r="M105" s="21">
        <f>IF(L105=1,IF(J105="CY",H105,K105),"")</f>
        <v/>
      </c>
      <c r="N105" s="21">
        <f>IF(L105=1,IF(J105="PY",H105,K105),"")</f>
        <v/>
      </c>
      <c r="O105" s="23">
        <f>IF(L105=1,IF(J105="PY",F105*M105/N105,F105),0)</f>
        <v/>
      </c>
      <c r="P105" s="23">
        <f>IF(L105=1,IF(J105="PY",G105*M105/N105,G105),0)</f>
        <v/>
      </c>
      <c r="Q105" s="23">
        <f>IF(AND(L105=1,J105="PY"),F105*(N105-M105)/N105,0)</f>
        <v/>
      </c>
      <c r="R105" s="23">
        <f>IF(AND(L105=1,J105="PY"),G105*(N105-M105)/N105,0)</f>
        <v/>
      </c>
      <c r="S105" s="21">
        <f>IF(COUNTA(A105:G105)=0,"",IF(OR(A105="",B105="",NOT(ISNUMBER(C105))),"Fill market, product and year",IF(COUNTIF(Control!$B$11:$B$13,B105)=0,"Unknown product",IF(COUNTIFS(Dat_A,A105,Dat_B,B105,Dat_C,C105)&gt;1,"Duplicate market/product/year",IF(OR(NOT(ISNUMBER(D105)),NOT(ISNUMBER(E105))),"Add launch date and Data through date",IF(E105&lt;D105,"Data through is before launch",IF(OR(NOT(ISNUMBER(F105)),NOT(ISNUMBER(G105))),"Add units and revenue","OK")))))))</f>
        <v/>
      </c>
    </row>
    <row r="106">
      <c r="A106" s="17" t="n"/>
      <c r="B106" s="17" t="n"/>
      <c r="C106" s="17" t="n"/>
      <c r="D106" s="18" t="n"/>
      <c r="E106" s="18" t="n"/>
      <c r="F106" s="19" t="n"/>
      <c r="G106" s="20" t="n"/>
      <c r="H106" s="21">
        <f>IF(AND(ISNUMBER(D106),ISNUMBER(E106)),E106-D106+1,"")</f>
        <v/>
      </c>
      <c r="I106" s="22">
        <f>IF(AND(ISNUMBER(F106),N(F106)&gt;0,ISNUMBER(G106)),G106/F106,"")</f>
        <v/>
      </c>
      <c r="J106" s="21">
        <f>IF(OR(A106="",B106=""),"",IF(C106=Yr_Cur,"CY",IF(C106=Yr_Prev,"PY","")))</f>
        <v/>
      </c>
      <c r="K106" s="21">
        <f>IF(J106="","",IF(J106="CY",SUMIFS(Dat_H,Dat_A,A106,Dat_B,B106,Dat_C,Yr_Prev),SUMIFS(Dat_H,Dat_A,A106,Dat_B,B106,Dat_C,Yr_Cur)))</f>
        <v/>
      </c>
      <c r="L106" s="21">
        <f>IF(J106="",0,IF(AND(ISNUMBER(H106),N(K106)&gt;0,ISNUMBER(F106),ISNUMBER(G106),OR(Sel_Market="All markets",A106=Sel_Market),COUNTIFS(Control!$B$11:$B$13,B106,Control!$C$11:$C$13,"Yes")&gt;0),1,0))</f>
        <v/>
      </c>
      <c r="M106" s="21">
        <f>IF(L106=1,IF(J106="CY",H106,K106),"")</f>
        <v/>
      </c>
      <c r="N106" s="21">
        <f>IF(L106=1,IF(J106="PY",H106,K106),"")</f>
        <v/>
      </c>
      <c r="O106" s="23">
        <f>IF(L106=1,IF(J106="PY",F106*M106/N106,F106),0)</f>
        <v/>
      </c>
      <c r="P106" s="23">
        <f>IF(L106=1,IF(J106="PY",G106*M106/N106,G106),0)</f>
        <v/>
      </c>
      <c r="Q106" s="23">
        <f>IF(AND(L106=1,J106="PY"),F106*(N106-M106)/N106,0)</f>
        <v/>
      </c>
      <c r="R106" s="23">
        <f>IF(AND(L106=1,J106="PY"),G106*(N106-M106)/N106,0)</f>
        <v/>
      </c>
      <c r="S106" s="21">
        <f>IF(COUNTA(A106:G106)=0,"",IF(OR(A106="",B106="",NOT(ISNUMBER(C106))),"Fill market, product and year",IF(COUNTIF(Control!$B$11:$B$13,B106)=0,"Unknown product",IF(COUNTIFS(Dat_A,A106,Dat_B,B106,Dat_C,C106)&gt;1,"Duplicate market/product/year",IF(OR(NOT(ISNUMBER(D106)),NOT(ISNUMBER(E106))),"Add launch date and Data through date",IF(E106&lt;D106,"Data through is before launch",IF(OR(NOT(ISNUMBER(F106)),NOT(ISNUMBER(G106))),"Add units and revenue","OK")))))))</f>
        <v/>
      </c>
    </row>
    <row r="107">
      <c r="A107" s="17" t="n"/>
      <c r="B107" s="17" t="n"/>
      <c r="C107" s="17" t="n"/>
      <c r="D107" s="18" t="n"/>
      <c r="E107" s="18" t="n"/>
      <c r="F107" s="19" t="n"/>
      <c r="G107" s="20" t="n"/>
      <c r="H107" s="21">
        <f>IF(AND(ISNUMBER(D107),ISNUMBER(E107)),E107-D107+1,"")</f>
        <v/>
      </c>
      <c r="I107" s="22">
        <f>IF(AND(ISNUMBER(F107),N(F107)&gt;0,ISNUMBER(G107)),G107/F107,"")</f>
        <v/>
      </c>
      <c r="J107" s="21">
        <f>IF(OR(A107="",B107=""),"",IF(C107=Yr_Cur,"CY",IF(C107=Yr_Prev,"PY","")))</f>
        <v/>
      </c>
      <c r="K107" s="21">
        <f>IF(J107="","",IF(J107="CY",SUMIFS(Dat_H,Dat_A,A107,Dat_B,B107,Dat_C,Yr_Prev),SUMIFS(Dat_H,Dat_A,A107,Dat_B,B107,Dat_C,Yr_Cur)))</f>
        <v/>
      </c>
      <c r="L107" s="21">
        <f>IF(J107="",0,IF(AND(ISNUMBER(H107),N(K107)&gt;0,ISNUMBER(F107),ISNUMBER(G107),OR(Sel_Market="All markets",A107=Sel_Market),COUNTIFS(Control!$B$11:$B$13,B107,Control!$C$11:$C$13,"Yes")&gt;0),1,0))</f>
        <v/>
      </c>
      <c r="M107" s="21">
        <f>IF(L107=1,IF(J107="CY",H107,K107),"")</f>
        <v/>
      </c>
      <c r="N107" s="21">
        <f>IF(L107=1,IF(J107="PY",H107,K107),"")</f>
        <v/>
      </c>
      <c r="O107" s="23">
        <f>IF(L107=1,IF(J107="PY",F107*M107/N107,F107),0)</f>
        <v/>
      </c>
      <c r="P107" s="23">
        <f>IF(L107=1,IF(J107="PY",G107*M107/N107,G107),0)</f>
        <v/>
      </c>
      <c r="Q107" s="23">
        <f>IF(AND(L107=1,J107="PY"),F107*(N107-M107)/N107,0)</f>
        <v/>
      </c>
      <c r="R107" s="23">
        <f>IF(AND(L107=1,J107="PY"),G107*(N107-M107)/N107,0)</f>
        <v/>
      </c>
      <c r="S107" s="21">
        <f>IF(COUNTA(A107:G107)=0,"",IF(OR(A107="",B107="",NOT(ISNUMBER(C107))),"Fill market, product and year",IF(COUNTIF(Control!$B$11:$B$13,B107)=0,"Unknown product",IF(COUNTIFS(Dat_A,A107,Dat_B,B107,Dat_C,C107)&gt;1,"Duplicate market/product/year",IF(OR(NOT(ISNUMBER(D107)),NOT(ISNUMBER(E107))),"Add launch date and Data through date",IF(E107&lt;D107,"Data through is before launch",IF(OR(NOT(ISNUMBER(F107)),NOT(ISNUMBER(G107))),"Add units and revenue","OK")))))))</f>
        <v/>
      </c>
    </row>
    <row r="108">
      <c r="A108" s="17" t="n"/>
      <c r="B108" s="17" t="n"/>
      <c r="C108" s="17" t="n"/>
      <c r="D108" s="18" t="n"/>
      <c r="E108" s="18" t="n"/>
      <c r="F108" s="19" t="n"/>
      <c r="G108" s="20" t="n"/>
      <c r="H108" s="21">
        <f>IF(AND(ISNUMBER(D108),ISNUMBER(E108)),E108-D108+1,"")</f>
        <v/>
      </c>
      <c r="I108" s="22">
        <f>IF(AND(ISNUMBER(F108),N(F108)&gt;0,ISNUMBER(G108)),G108/F108,"")</f>
        <v/>
      </c>
      <c r="J108" s="21">
        <f>IF(OR(A108="",B108=""),"",IF(C108=Yr_Cur,"CY",IF(C108=Yr_Prev,"PY","")))</f>
        <v/>
      </c>
      <c r="K108" s="21">
        <f>IF(J108="","",IF(J108="CY",SUMIFS(Dat_H,Dat_A,A108,Dat_B,B108,Dat_C,Yr_Prev),SUMIFS(Dat_H,Dat_A,A108,Dat_B,B108,Dat_C,Yr_Cur)))</f>
        <v/>
      </c>
      <c r="L108" s="21">
        <f>IF(J108="",0,IF(AND(ISNUMBER(H108),N(K108)&gt;0,ISNUMBER(F108),ISNUMBER(G108),OR(Sel_Market="All markets",A108=Sel_Market),COUNTIFS(Control!$B$11:$B$13,B108,Control!$C$11:$C$13,"Yes")&gt;0),1,0))</f>
        <v/>
      </c>
      <c r="M108" s="21">
        <f>IF(L108=1,IF(J108="CY",H108,K108),"")</f>
        <v/>
      </c>
      <c r="N108" s="21">
        <f>IF(L108=1,IF(J108="PY",H108,K108),"")</f>
        <v/>
      </c>
      <c r="O108" s="23">
        <f>IF(L108=1,IF(J108="PY",F108*M108/N108,F108),0)</f>
        <v/>
      </c>
      <c r="P108" s="23">
        <f>IF(L108=1,IF(J108="PY",G108*M108/N108,G108),0)</f>
        <v/>
      </c>
      <c r="Q108" s="23">
        <f>IF(AND(L108=1,J108="PY"),F108*(N108-M108)/N108,0)</f>
        <v/>
      </c>
      <c r="R108" s="23">
        <f>IF(AND(L108=1,J108="PY"),G108*(N108-M108)/N108,0)</f>
        <v/>
      </c>
      <c r="S108" s="21">
        <f>IF(COUNTA(A108:G108)=0,"",IF(OR(A108="",B108="",NOT(ISNUMBER(C108))),"Fill market, product and year",IF(COUNTIF(Control!$B$11:$B$13,B108)=0,"Unknown product",IF(COUNTIFS(Dat_A,A108,Dat_B,B108,Dat_C,C108)&gt;1,"Duplicate market/product/year",IF(OR(NOT(ISNUMBER(D108)),NOT(ISNUMBER(E108))),"Add launch date and Data through date",IF(E108&lt;D108,"Data through is before launch",IF(OR(NOT(ISNUMBER(F108)),NOT(ISNUMBER(G108))),"Add units and revenue","OK")))))))</f>
        <v/>
      </c>
    </row>
    <row r="109">
      <c r="A109" s="17" t="n"/>
      <c r="B109" s="17" t="n"/>
      <c r="C109" s="17" t="n"/>
      <c r="D109" s="18" t="n"/>
      <c r="E109" s="18" t="n"/>
      <c r="F109" s="19" t="n"/>
      <c r="G109" s="20" t="n"/>
      <c r="H109" s="21">
        <f>IF(AND(ISNUMBER(D109),ISNUMBER(E109)),E109-D109+1,"")</f>
        <v/>
      </c>
      <c r="I109" s="22">
        <f>IF(AND(ISNUMBER(F109),N(F109)&gt;0,ISNUMBER(G109)),G109/F109,"")</f>
        <v/>
      </c>
      <c r="J109" s="21">
        <f>IF(OR(A109="",B109=""),"",IF(C109=Yr_Cur,"CY",IF(C109=Yr_Prev,"PY","")))</f>
        <v/>
      </c>
      <c r="K109" s="21">
        <f>IF(J109="","",IF(J109="CY",SUMIFS(Dat_H,Dat_A,A109,Dat_B,B109,Dat_C,Yr_Prev),SUMIFS(Dat_H,Dat_A,A109,Dat_B,B109,Dat_C,Yr_Cur)))</f>
        <v/>
      </c>
      <c r="L109" s="21">
        <f>IF(J109="",0,IF(AND(ISNUMBER(H109),N(K109)&gt;0,ISNUMBER(F109),ISNUMBER(G109),OR(Sel_Market="All markets",A109=Sel_Market),COUNTIFS(Control!$B$11:$B$13,B109,Control!$C$11:$C$13,"Yes")&gt;0),1,0))</f>
        <v/>
      </c>
      <c r="M109" s="21">
        <f>IF(L109=1,IF(J109="CY",H109,K109),"")</f>
        <v/>
      </c>
      <c r="N109" s="21">
        <f>IF(L109=1,IF(J109="PY",H109,K109),"")</f>
        <v/>
      </c>
      <c r="O109" s="23">
        <f>IF(L109=1,IF(J109="PY",F109*M109/N109,F109),0)</f>
        <v/>
      </c>
      <c r="P109" s="23">
        <f>IF(L109=1,IF(J109="PY",G109*M109/N109,G109),0)</f>
        <v/>
      </c>
      <c r="Q109" s="23">
        <f>IF(AND(L109=1,J109="PY"),F109*(N109-M109)/N109,0)</f>
        <v/>
      </c>
      <c r="R109" s="23">
        <f>IF(AND(L109=1,J109="PY"),G109*(N109-M109)/N109,0)</f>
        <v/>
      </c>
      <c r="S109" s="21">
        <f>IF(COUNTA(A109:G109)=0,"",IF(OR(A109="",B109="",NOT(ISNUMBER(C109))),"Fill market, product and year",IF(COUNTIF(Control!$B$11:$B$13,B109)=0,"Unknown product",IF(COUNTIFS(Dat_A,A109,Dat_B,B109,Dat_C,C109)&gt;1,"Duplicate market/product/year",IF(OR(NOT(ISNUMBER(D109)),NOT(ISNUMBER(E109))),"Add launch date and Data through date",IF(E109&lt;D109,"Data through is before launch",IF(OR(NOT(ISNUMBER(F109)),NOT(ISNUMBER(G109))),"Add units and revenue","OK")))))))</f>
        <v/>
      </c>
    </row>
    <row r="110">
      <c r="A110" s="17" t="n"/>
      <c r="B110" s="17" t="n"/>
      <c r="C110" s="17" t="n"/>
      <c r="D110" s="18" t="n"/>
      <c r="E110" s="18" t="n"/>
      <c r="F110" s="19" t="n"/>
      <c r="G110" s="20" t="n"/>
      <c r="H110" s="21">
        <f>IF(AND(ISNUMBER(D110),ISNUMBER(E110)),E110-D110+1,"")</f>
        <v/>
      </c>
      <c r="I110" s="22">
        <f>IF(AND(ISNUMBER(F110),N(F110)&gt;0,ISNUMBER(G110)),G110/F110,"")</f>
        <v/>
      </c>
      <c r="J110" s="21">
        <f>IF(OR(A110="",B110=""),"",IF(C110=Yr_Cur,"CY",IF(C110=Yr_Prev,"PY","")))</f>
        <v/>
      </c>
      <c r="K110" s="21">
        <f>IF(J110="","",IF(J110="CY",SUMIFS(Dat_H,Dat_A,A110,Dat_B,B110,Dat_C,Yr_Prev),SUMIFS(Dat_H,Dat_A,A110,Dat_B,B110,Dat_C,Yr_Cur)))</f>
        <v/>
      </c>
      <c r="L110" s="21">
        <f>IF(J110="",0,IF(AND(ISNUMBER(H110),N(K110)&gt;0,ISNUMBER(F110),ISNUMBER(G110),OR(Sel_Market="All markets",A110=Sel_Market),COUNTIFS(Control!$B$11:$B$13,B110,Control!$C$11:$C$13,"Yes")&gt;0),1,0))</f>
        <v/>
      </c>
      <c r="M110" s="21">
        <f>IF(L110=1,IF(J110="CY",H110,K110),"")</f>
        <v/>
      </c>
      <c r="N110" s="21">
        <f>IF(L110=1,IF(J110="PY",H110,K110),"")</f>
        <v/>
      </c>
      <c r="O110" s="23">
        <f>IF(L110=1,IF(J110="PY",F110*M110/N110,F110),0)</f>
        <v/>
      </c>
      <c r="P110" s="23">
        <f>IF(L110=1,IF(J110="PY",G110*M110/N110,G110),0)</f>
        <v/>
      </c>
      <c r="Q110" s="23">
        <f>IF(AND(L110=1,J110="PY"),F110*(N110-M110)/N110,0)</f>
        <v/>
      </c>
      <c r="R110" s="23">
        <f>IF(AND(L110=1,J110="PY"),G110*(N110-M110)/N110,0)</f>
        <v/>
      </c>
      <c r="S110" s="21">
        <f>IF(COUNTA(A110:G110)=0,"",IF(OR(A110="",B110="",NOT(ISNUMBER(C110))),"Fill market, product and year",IF(COUNTIF(Control!$B$11:$B$13,B110)=0,"Unknown product",IF(COUNTIFS(Dat_A,A110,Dat_B,B110,Dat_C,C110)&gt;1,"Duplicate market/product/year",IF(OR(NOT(ISNUMBER(D110)),NOT(ISNUMBER(E110))),"Add launch date and Data through date",IF(E110&lt;D110,"Data through is before launch",IF(OR(NOT(ISNUMBER(F110)),NOT(ISNUMBER(G110))),"Add units and revenue","OK")))))))</f>
        <v/>
      </c>
    </row>
    <row r="111">
      <c r="A111" s="17" t="n"/>
      <c r="B111" s="17" t="n"/>
      <c r="C111" s="17" t="n"/>
      <c r="D111" s="18" t="n"/>
      <c r="E111" s="18" t="n"/>
      <c r="F111" s="19" t="n"/>
      <c r="G111" s="20" t="n"/>
      <c r="H111" s="21">
        <f>IF(AND(ISNUMBER(D111),ISNUMBER(E111)),E111-D111+1,"")</f>
        <v/>
      </c>
      <c r="I111" s="22">
        <f>IF(AND(ISNUMBER(F111),N(F111)&gt;0,ISNUMBER(G111)),G111/F111,"")</f>
        <v/>
      </c>
      <c r="J111" s="21">
        <f>IF(OR(A111="",B111=""),"",IF(C111=Yr_Cur,"CY",IF(C111=Yr_Prev,"PY","")))</f>
        <v/>
      </c>
      <c r="K111" s="21">
        <f>IF(J111="","",IF(J111="CY",SUMIFS(Dat_H,Dat_A,A111,Dat_B,B111,Dat_C,Yr_Prev),SUMIFS(Dat_H,Dat_A,A111,Dat_B,B111,Dat_C,Yr_Cur)))</f>
        <v/>
      </c>
      <c r="L111" s="21">
        <f>IF(J111="",0,IF(AND(ISNUMBER(H111),N(K111)&gt;0,ISNUMBER(F111),ISNUMBER(G111),OR(Sel_Market="All markets",A111=Sel_Market),COUNTIFS(Control!$B$11:$B$13,B111,Control!$C$11:$C$13,"Yes")&gt;0),1,0))</f>
        <v/>
      </c>
      <c r="M111" s="21">
        <f>IF(L111=1,IF(J111="CY",H111,K111),"")</f>
        <v/>
      </c>
      <c r="N111" s="21">
        <f>IF(L111=1,IF(J111="PY",H111,K111),"")</f>
        <v/>
      </c>
      <c r="O111" s="23">
        <f>IF(L111=1,IF(J111="PY",F111*M111/N111,F111),0)</f>
        <v/>
      </c>
      <c r="P111" s="23">
        <f>IF(L111=1,IF(J111="PY",G111*M111/N111,G111),0)</f>
        <v/>
      </c>
      <c r="Q111" s="23">
        <f>IF(AND(L111=1,J111="PY"),F111*(N111-M111)/N111,0)</f>
        <v/>
      </c>
      <c r="R111" s="23">
        <f>IF(AND(L111=1,J111="PY"),G111*(N111-M111)/N111,0)</f>
        <v/>
      </c>
      <c r="S111" s="21">
        <f>IF(COUNTA(A111:G111)=0,"",IF(OR(A111="",B111="",NOT(ISNUMBER(C111))),"Fill market, product and year",IF(COUNTIF(Control!$B$11:$B$13,B111)=0,"Unknown product",IF(COUNTIFS(Dat_A,A111,Dat_B,B111,Dat_C,C111)&gt;1,"Duplicate market/product/year",IF(OR(NOT(ISNUMBER(D111)),NOT(ISNUMBER(E111))),"Add launch date and Data through date",IF(E111&lt;D111,"Data through is before launch",IF(OR(NOT(ISNUMBER(F111)),NOT(ISNUMBER(G111))),"Add units and revenue","OK")))))))</f>
        <v/>
      </c>
    </row>
    <row r="112">
      <c r="A112" s="17" t="n"/>
      <c r="B112" s="17" t="n"/>
      <c r="C112" s="17" t="n"/>
      <c r="D112" s="18" t="n"/>
      <c r="E112" s="18" t="n"/>
      <c r="F112" s="19" t="n"/>
      <c r="G112" s="20" t="n"/>
      <c r="H112" s="21">
        <f>IF(AND(ISNUMBER(D112),ISNUMBER(E112)),E112-D112+1,"")</f>
        <v/>
      </c>
      <c r="I112" s="22">
        <f>IF(AND(ISNUMBER(F112),N(F112)&gt;0,ISNUMBER(G112)),G112/F112,"")</f>
        <v/>
      </c>
      <c r="J112" s="21">
        <f>IF(OR(A112="",B112=""),"",IF(C112=Yr_Cur,"CY",IF(C112=Yr_Prev,"PY","")))</f>
        <v/>
      </c>
      <c r="K112" s="21">
        <f>IF(J112="","",IF(J112="CY",SUMIFS(Dat_H,Dat_A,A112,Dat_B,B112,Dat_C,Yr_Prev),SUMIFS(Dat_H,Dat_A,A112,Dat_B,B112,Dat_C,Yr_Cur)))</f>
        <v/>
      </c>
      <c r="L112" s="21">
        <f>IF(J112="",0,IF(AND(ISNUMBER(H112),N(K112)&gt;0,ISNUMBER(F112),ISNUMBER(G112),OR(Sel_Market="All markets",A112=Sel_Market),COUNTIFS(Control!$B$11:$B$13,B112,Control!$C$11:$C$13,"Yes")&gt;0),1,0))</f>
        <v/>
      </c>
      <c r="M112" s="21">
        <f>IF(L112=1,IF(J112="CY",H112,K112),"")</f>
        <v/>
      </c>
      <c r="N112" s="21">
        <f>IF(L112=1,IF(J112="PY",H112,K112),"")</f>
        <v/>
      </c>
      <c r="O112" s="23">
        <f>IF(L112=1,IF(J112="PY",F112*M112/N112,F112),0)</f>
        <v/>
      </c>
      <c r="P112" s="23">
        <f>IF(L112=1,IF(J112="PY",G112*M112/N112,G112),0)</f>
        <v/>
      </c>
      <c r="Q112" s="23">
        <f>IF(AND(L112=1,J112="PY"),F112*(N112-M112)/N112,0)</f>
        <v/>
      </c>
      <c r="R112" s="23">
        <f>IF(AND(L112=1,J112="PY"),G112*(N112-M112)/N112,0)</f>
        <v/>
      </c>
      <c r="S112" s="21">
        <f>IF(COUNTA(A112:G112)=0,"",IF(OR(A112="",B112="",NOT(ISNUMBER(C112))),"Fill market, product and year",IF(COUNTIF(Control!$B$11:$B$13,B112)=0,"Unknown product",IF(COUNTIFS(Dat_A,A112,Dat_B,B112,Dat_C,C112)&gt;1,"Duplicate market/product/year",IF(OR(NOT(ISNUMBER(D112)),NOT(ISNUMBER(E112))),"Add launch date and Data through date",IF(E112&lt;D112,"Data through is before launch",IF(OR(NOT(ISNUMBER(F112)),NOT(ISNUMBER(G112))),"Add units and revenue","OK")))))))</f>
        <v/>
      </c>
    </row>
    <row r="113">
      <c r="A113" s="17" t="n"/>
      <c r="B113" s="17" t="n"/>
      <c r="C113" s="17" t="n"/>
      <c r="D113" s="18" t="n"/>
      <c r="E113" s="18" t="n"/>
      <c r="F113" s="19" t="n"/>
      <c r="G113" s="20" t="n"/>
      <c r="H113" s="21">
        <f>IF(AND(ISNUMBER(D113),ISNUMBER(E113)),E113-D113+1,"")</f>
        <v/>
      </c>
      <c r="I113" s="22">
        <f>IF(AND(ISNUMBER(F113),N(F113)&gt;0,ISNUMBER(G113)),G113/F113,"")</f>
        <v/>
      </c>
      <c r="J113" s="21">
        <f>IF(OR(A113="",B113=""),"",IF(C113=Yr_Cur,"CY",IF(C113=Yr_Prev,"PY","")))</f>
        <v/>
      </c>
      <c r="K113" s="21">
        <f>IF(J113="","",IF(J113="CY",SUMIFS(Dat_H,Dat_A,A113,Dat_B,B113,Dat_C,Yr_Prev),SUMIFS(Dat_H,Dat_A,A113,Dat_B,B113,Dat_C,Yr_Cur)))</f>
        <v/>
      </c>
      <c r="L113" s="21">
        <f>IF(J113="",0,IF(AND(ISNUMBER(H113),N(K113)&gt;0,ISNUMBER(F113),ISNUMBER(G113),OR(Sel_Market="All markets",A113=Sel_Market),COUNTIFS(Control!$B$11:$B$13,B113,Control!$C$11:$C$13,"Yes")&gt;0),1,0))</f>
        <v/>
      </c>
      <c r="M113" s="21">
        <f>IF(L113=1,IF(J113="CY",H113,K113),"")</f>
        <v/>
      </c>
      <c r="N113" s="21">
        <f>IF(L113=1,IF(J113="PY",H113,K113),"")</f>
        <v/>
      </c>
      <c r="O113" s="23">
        <f>IF(L113=1,IF(J113="PY",F113*M113/N113,F113),0)</f>
        <v/>
      </c>
      <c r="P113" s="23">
        <f>IF(L113=1,IF(J113="PY",G113*M113/N113,G113),0)</f>
        <v/>
      </c>
      <c r="Q113" s="23">
        <f>IF(AND(L113=1,J113="PY"),F113*(N113-M113)/N113,0)</f>
        <v/>
      </c>
      <c r="R113" s="23">
        <f>IF(AND(L113=1,J113="PY"),G113*(N113-M113)/N113,0)</f>
        <v/>
      </c>
      <c r="S113" s="21">
        <f>IF(COUNTA(A113:G113)=0,"",IF(OR(A113="",B113="",NOT(ISNUMBER(C113))),"Fill market, product and year",IF(COUNTIF(Control!$B$11:$B$13,B113)=0,"Unknown product",IF(COUNTIFS(Dat_A,A113,Dat_B,B113,Dat_C,C113)&gt;1,"Duplicate market/product/year",IF(OR(NOT(ISNUMBER(D113)),NOT(ISNUMBER(E113))),"Add launch date and Data through date",IF(E113&lt;D113,"Data through is before launch",IF(OR(NOT(ISNUMBER(F113)),NOT(ISNUMBER(G113))),"Add units and revenue","OK")))))))</f>
        <v/>
      </c>
    </row>
    <row r="114">
      <c r="A114" s="17" t="n"/>
      <c r="B114" s="17" t="n"/>
      <c r="C114" s="17" t="n"/>
      <c r="D114" s="18" t="n"/>
      <c r="E114" s="18" t="n"/>
      <c r="F114" s="19" t="n"/>
      <c r="G114" s="20" t="n"/>
      <c r="H114" s="21">
        <f>IF(AND(ISNUMBER(D114),ISNUMBER(E114)),E114-D114+1,"")</f>
        <v/>
      </c>
      <c r="I114" s="22">
        <f>IF(AND(ISNUMBER(F114),N(F114)&gt;0,ISNUMBER(G114)),G114/F114,"")</f>
        <v/>
      </c>
      <c r="J114" s="21">
        <f>IF(OR(A114="",B114=""),"",IF(C114=Yr_Cur,"CY",IF(C114=Yr_Prev,"PY","")))</f>
        <v/>
      </c>
      <c r="K114" s="21">
        <f>IF(J114="","",IF(J114="CY",SUMIFS(Dat_H,Dat_A,A114,Dat_B,B114,Dat_C,Yr_Prev),SUMIFS(Dat_H,Dat_A,A114,Dat_B,B114,Dat_C,Yr_Cur)))</f>
        <v/>
      </c>
      <c r="L114" s="21">
        <f>IF(J114="",0,IF(AND(ISNUMBER(H114),N(K114)&gt;0,ISNUMBER(F114),ISNUMBER(G114),OR(Sel_Market="All markets",A114=Sel_Market),COUNTIFS(Control!$B$11:$B$13,B114,Control!$C$11:$C$13,"Yes")&gt;0),1,0))</f>
        <v/>
      </c>
      <c r="M114" s="21">
        <f>IF(L114=1,IF(J114="CY",H114,K114),"")</f>
        <v/>
      </c>
      <c r="N114" s="21">
        <f>IF(L114=1,IF(J114="PY",H114,K114),"")</f>
        <v/>
      </c>
      <c r="O114" s="23">
        <f>IF(L114=1,IF(J114="PY",F114*M114/N114,F114),0)</f>
        <v/>
      </c>
      <c r="P114" s="23">
        <f>IF(L114=1,IF(J114="PY",G114*M114/N114,G114),0)</f>
        <v/>
      </c>
      <c r="Q114" s="23">
        <f>IF(AND(L114=1,J114="PY"),F114*(N114-M114)/N114,0)</f>
        <v/>
      </c>
      <c r="R114" s="23">
        <f>IF(AND(L114=1,J114="PY"),G114*(N114-M114)/N114,0)</f>
        <v/>
      </c>
      <c r="S114" s="21">
        <f>IF(COUNTA(A114:G114)=0,"",IF(OR(A114="",B114="",NOT(ISNUMBER(C114))),"Fill market, product and year",IF(COUNTIF(Control!$B$11:$B$13,B114)=0,"Unknown product",IF(COUNTIFS(Dat_A,A114,Dat_B,B114,Dat_C,C114)&gt;1,"Duplicate market/product/year",IF(OR(NOT(ISNUMBER(D114)),NOT(ISNUMBER(E114))),"Add launch date and Data through date",IF(E114&lt;D114,"Data through is before launch",IF(OR(NOT(ISNUMBER(F114)),NOT(ISNUMBER(G114))),"Add units and revenue","OK")))))))</f>
        <v/>
      </c>
    </row>
    <row r="115">
      <c r="A115" s="17" t="n"/>
      <c r="B115" s="17" t="n"/>
      <c r="C115" s="17" t="n"/>
      <c r="D115" s="18" t="n"/>
      <c r="E115" s="18" t="n"/>
      <c r="F115" s="19" t="n"/>
      <c r="G115" s="20" t="n"/>
      <c r="H115" s="21">
        <f>IF(AND(ISNUMBER(D115),ISNUMBER(E115)),E115-D115+1,"")</f>
        <v/>
      </c>
      <c r="I115" s="22">
        <f>IF(AND(ISNUMBER(F115),N(F115)&gt;0,ISNUMBER(G115)),G115/F115,"")</f>
        <v/>
      </c>
      <c r="J115" s="21">
        <f>IF(OR(A115="",B115=""),"",IF(C115=Yr_Cur,"CY",IF(C115=Yr_Prev,"PY","")))</f>
        <v/>
      </c>
      <c r="K115" s="21">
        <f>IF(J115="","",IF(J115="CY",SUMIFS(Dat_H,Dat_A,A115,Dat_B,B115,Dat_C,Yr_Prev),SUMIFS(Dat_H,Dat_A,A115,Dat_B,B115,Dat_C,Yr_Cur)))</f>
        <v/>
      </c>
      <c r="L115" s="21">
        <f>IF(J115="",0,IF(AND(ISNUMBER(H115),N(K115)&gt;0,ISNUMBER(F115),ISNUMBER(G115),OR(Sel_Market="All markets",A115=Sel_Market),COUNTIFS(Control!$B$11:$B$13,B115,Control!$C$11:$C$13,"Yes")&gt;0),1,0))</f>
        <v/>
      </c>
      <c r="M115" s="21">
        <f>IF(L115=1,IF(J115="CY",H115,K115),"")</f>
        <v/>
      </c>
      <c r="N115" s="21">
        <f>IF(L115=1,IF(J115="PY",H115,K115),"")</f>
        <v/>
      </c>
      <c r="O115" s="23">
        <f>IF(L115=1,IF(J115="PY",F115*M115/N115,F115),0)</f>
        <v/>
      </c>
      <c r="P115" s="23">
        <f>IF(L115=1,IF(J115="PY",G115*M115/N115,G115),0)</f>
        <v/>
      </c>
      <c r="Q115" s="23">
        <f>IF(AND(L115=1,J115="PY"),F115*(N115-M115)/N115,0)</f>
        <v/>
      </c>
      <c r="R115" s="23">
        <f>IF(AND(L115=1,J115="PY"),G115*(N115-M115)/N115,0)</f>
        <v/>
      </c>
      <c r="S115" s="21">
        <f>IF(COUNTA(A115:G115)=0,"",IF(OR(A115="",B115="",NOT(ISNUMBER(C115))),"Fill market, product and year",IF(COUNTIF(Control!$B$11:$B$13,B115)=0,"Unknown product",IF(COUNTIFS(Dat_A,A115,Dat_B,B115,Dat_C,C115)&gt;1,"Duplicate market/product/year",IF(OR(NOT(ISNUMBER(D115)),NOT(ISNUMBER(E115))),"Add launch date and Data through date",IF(E115&lt;D115,"Data through is before launch",IF(OR(NOT(ISNUMBER(F115)),NOT(ISNUMBER(G115))),"Add units and revenue","OK")))))))</f>
        <v/>
      </c>
    </row>
    <row r="116">
      <c r="A116" s="17" t="n"/>
      <c r="B116" s="17" t="n"/>
      <c r="C116" s="17" t="n"/>
      <c r="D116" s="18" t="n"/>
      <c r="E116" s="18" t="n"/>
      <c r="F116" s="19" t="n"/>
      <c r="G116" s="20" t="n"/>
      <c r="H116" s="21">
        <f>IF(AND(ISNUMBER(D116),ISNUMBER(E116)),E116-D116+1,"")</f>
        <v/>
      </c>
      <c r="I116" s="22">
        <f>IF(AND(ISNUMBER(F116),N(F116)&gt;0,ISNUMBER(G116)),G116/F116,"")</f>
        <v/>
      </c>
      <c r="J116" s="21">
        <f>IF(OR(A116="",B116=""),"",IF(C116=Yr_Cur,"CY",IF(C116=Yr_Prev,"PY","")))</f>
        <v/>
      </c>
      <c r="K116" s="21">
        <f>IF(J116="","",IF(J116="CY",SUMIFS(Dat_H,Dat_A,A116,Dat_B,B116,Dat_C,Yr_Prev),SUMIFS(Dat_H,Dat_A,A116,Dat_B,B116,Dat_C,Yr_Cur)))</f>
        <v/>
      </c>
      <c r="L116" s="21">
        <f>IF(J116="",0,IF(AND(ISNUMBER(H116),N(K116)&gt;0,ISNUMBER(F116),ISNUMBER(G116),OR(Sel_Market="All markets",A116=Sel_Market),COUNTIFS(Control!$B$11:$B$13,B116,Control!$C$11:$C$13,"Yes")&gt;0),1,0))</f>
        <v/>
      </c>
      <c r="M116" s="21">
        <f>IF(L116=1,IF(J116="CY",H116,K116),"")</f>
        <v/>
      </c>
      <c r="N116" s="21">
        <f>IF(L116=1,IF(J116="PY",H116,K116),"")</f>
        <v/>
      </c>
      <c r="O116" s="23">
        <f>IF(L116=1,IF(J116="PY",F116*M116/N116,F116),0)</f>
        <v/>
      </c>
      <c r="P116" s="23">
        <f>IF(L116=1,IF(J116="PY",G116*M116/N116,G116),0)</f>
        <v/>
      </c>
      <c r="Q116" s="23">
        <f>IF(AND(L116=1,J116="PY"),F116*(N116-M116)/N116,0)</f>
        <v/>
      </c>
      <c r="R116" s="23">
        <f>IF(AND(L116=1,J116="PY"),G116*(N116-M116)/N116,0)</f>
        <v/>
      </c>
      <c r="S116" s="21">
        <f>IF(COUNTA(A116:G116)=0,"",IF(OR(A116="",B116="",NOT(ISNUMBER(C116))),"Fill market, product and year",IF(COUNTIF(Control!$B$11:$B$13,B116)=0,"Unknown product",IF(COUNTIFS(Dat_A,A116,Dat_B,B116,Dat_C,C116)&gt;1,"Duplicate market/product/year",IF(OR(NOT(ISNUMBER(D116)),NOT(ISNUMBER(E116))),"Add launch date and Data through date",IF(E116&lt;D116,"Data through is before launch",IF(OR(NOT(ISNUMBER(F116)),NOT(ISNUMBER(G116))),"Add units and revenue","OK")))))))</f>
        <v/>
      </c>
    </row>
    <row r="117">
      <c r="A117" s="17" t="n"/>
      <c r="B117" s="17" t="n"/>
      <c r="C117" s="17" t="n"/>
      <c r="D117" s="18" t="n"/>
      <c r="E117" s="18" t="n"/>
      <c r="F117" s="19" t="n"/>
      <c r="G117" s="20" t="n"/>
      <c r="H117" s="21">
        <f>IF(AND(ISNUMBER(D117),ISNUMBER(E117)),E117-D117+1,"")</f>
        <v/>
      </c>
      <c r="I117" s="22">
        <f>IF(AND(ISNUMBER(F117),N(F117)&gt;0,ISNUMBER(G117)),G117/F117,"")</f>
        <v/>
      </c>
      <c r="J117" s="21">
        <f>IF(OR(A117="",B117=""),"",IF(C117=Yr_Cur,"CY",IF(C117=Yr_Prev,"PY","")))</f>
        <v/>
      </c>
      <c r="K117" s="21">
        <f>IF(J117="","",IF(J117="CY",SUMIFS(Dat_H,Dat_A,A117,Dat_B,B117,Dat_C,Yr_Prev),SUMIFS(Dat_H,Dat_A,A117,Dat_B,B117,Dat_C,Yr_Cur)))</f>
        <v/>
      </c>
      <c r="L117" s="21">
        <f>IF(J117="",0,IF(AND(ISNUMBER(H117),N(K117)&gt;0,ISNUMBER(F117),ISNUMBER(G117),OR(Sel_Market="All markets",A117=Sel_Market),COUNTIFS(Control!$B$11:$B$13,B117,Control!$C$11:$C$13,"Yes")&gt;0),1,0))</f>
        <v/>
      </c>
      <c r="M117" s="21">
        <f>IF(L117=1,IF(J117="CY",H117,K117),"")</f>
        <v/>
      </c>
      <c r="N117" s="21">
        <f>IF(L117=1,IF(J117="PY",H117,K117),"")</f>
        <v/>
      </c>
      <c r="O117" s="23">
        <f>IF(L117=1,IF(J117="PY",F117*M117/N117,F117),0)</f>
        <v/>
      </c>
      <c r="P117" s="23">
        <f>IF(L117=1,IF(J117="PY",G117*M117/N117,G117),0)</f>
        <v/>
      </c>
      <c r="Q117" s="23">
        <f>IF(AND(L117=1,J117="PY"),F117*(N117-M117)/N117,0)</f>
        <v/>
      </c>
      <c r="R117" s="23">
        <f>IF(AND(L117=1,J117="PY"),G117*(N117-M117)/N117,0)</f>
        <v/>
      </c>
      <c r="S117" s="21">
        <f>IF(COUNTA(A117:G117)=0,"",IF(OR(A117="",B117="",NOT(ISNUMBER(C117))),"Fill market, product and year",IF(COUNTIF(Control!$B$11:$B$13,B117)=0,"Unknown product",IF(COUNTIFS(Dat_A,A117,Dat_B,B117,Dat_C,C117)&gt;1,"Duplicate market/product/year",IF(OR(NOT(ISNUMBER(D117)),NOT(ISNUMBER(E117))),"Add launch date and Data through date",IF(E117&lt;D117,"Data through is before launch",IF(OR(NOT(ISNUMBER(F117)),NOT(ISNUMBER(G117))),"Add units and revenue","OK")))))))</f>
        <v/>
      </c>
    </row>
    <row r="118">
      <c r="A118" s="17" t="n"/>
      <c r="B118" s="17" t="n"/>
      <c r="C118" s="17" t="n"/>
      <c r="D118" s="18" t="n"/>
      <c r="E118" s="18" t="n"/>
      <c r="F118" s="19" t="n"/>
      <c r="G118" s="20" t="n"/>
      <c r="H118" s="21">
        <f>IF(AND(ISNUMBER(D118),ISNUMBER(E118)),E118-D118+1,"")</f>
        <v/>
      </c>
      <c r="I118" s="22">
        <f>IF(AND(ISNUMBER(F118),N(F118)&gt;0,ISNUMBER(G118)),G118/F118,"")</f>
        <v/>
      </c>
      <c r="J118" s="21">
        <f>IF(OR(A118="",B118=""),"",IF(C118=Yr_Cur,"CY",IF(C118=Yr_Prev,"PY","")))</f>
        <v/>
      </c>
      <c r="K118" s="21">
        <f>IF(J118="","",IF(J118="CY",SUMIFS(Dat_H,Dat_A,A118,Dat_B,B118,Dat_C,Yr_Prev),SUMIFS(Dat_H,Dat_A,A118,Dat_B,B118,Dat_C,Yr_Cur)))</f>
        <v/>
      </c>
      <c r="L118" s="21">
        <f>IF(J118="",0,IF(AND(ISNUMBER(H118),N(K118)&gt;0,ISNUMBER(F118),ISNUMBER(G118),OR(Sel_Market="All markets",A118=Sel_Market),COUNTIFS(Control!$B$11:$B$13,B118,Control!$C$11:$C$13,"Yes")&gt;0),1,0))</f>
        <v/>
      </c>
      <c r="M118" s="21">
        <f>IF(L118=1,IF(J118="CY",H118,K118),"")</f>
        <v/>
      </c>
      <c r="N118" s="21">
        <f>IF(L118=1,IF(J118="PY",H118,K118),"")</f>
        <v/>
      </c>
      <c r="O118" s="23">
        <f>IF(L118=1,IF(J118="PY",F118*M118/N118,F118),0)</f>
        <v/>
      </c>
      <c r="P118" s="23">
        <f>IF(L118=1,IF(J118="PY",G118*M118/N118,G118),0)</f>
        <v/>
      </c>
      <c r="Q118" s="23">
        <f>IF(AND(L118=1,J118="PY"),F118*(N118-M118)/N118,0)</f>
        <v/>
      </c>
      <c r="R118" s="23">
        <f>IF(AND(L118=1,J118="PY"),G118*(N118-M118)/N118,0)</f>
        <v/>
      </c>
      <c r="S118" s="21">
        <f>IF(COUNTA(A118:G118)=0,"",IF(OR(A118="",B118="",NOT(ISNUMBER(C118))),"Fill market, product and year",IF(COUNTIF(Control!$B$11:$B$13,B118)=0,"Unknown product",IF(COUNTIFS(Dat_A,A118,Dat_B,B118,Dat_C,C118)&gt;1,"Duplicate market/product/year",IF(OR(NOT(ISNUMBER(D118)),NOT(ISNUMBER(E118))),"Add launch date and Data through date",IF(E118&lt;D118,"Data through is before launch",IF(OR(NOT(ISNUMBER(F118)),NOT(ISNUMBER(G118))),"Add units and revenue","OK")))))))</f>
        <v/>
      </c>
    </row>
    <row r="119">
      <c r="A119" s="17" t="n"/>
      <c r="B119" s="17" t="n"/>
      <c r="C119" s="17" t="n"/>
      <c r="D119" s="18" t="n"/>
      <c r="E119" s="18" t="n"/>
      <c r="F119" s="19" t="n"/>
      <c r="G119" s="20" t="n"/>
      <c r="H119" s="21">
        <f>IF(AND(ISNUMBER(D119),ISNUMBER(E119)),E119-D119+1,"")</f>
        <v/>
      </c>
      <c r="I119" s="22">
        <f>IF(AND(ISNUMBER(F119),N(F119)&gt;0,ISNUMBER(G119)),G119/F119,"")</f>
        <v/>
      </c>
      <c r="J119" s="21">
        <f>IF(OR(A119="",B119=""),"",IF(C119=Yr_Cur,"CY",IF(C119=Yr_Prev,"PY","")))</f>
        <v/>
      </c>
      <c r="K119" s="21">
        <f>IF(J119="","",IF(J119="CY",SUMIFS(Dat_H,Dat_A,A119,Dat_B,B119,Dat_C,Yr_Prev),SUMIFS(Dat_H,Dat_A,A119,Dat_B,B119,Dat_C,Yr_Cur)))</f>
        <v/>
      </c>
      <c r="L119" s="21">
        <f>IF(J119="",0,IF(AND(ISNUMBER(H119),N(K119)&gt;0,ISNUMBER(F119),ISNUMBER(G119),OR(Sel_Market="All markets",A119=Sel_Market),COUNTIFS(Control!$B$11:$B$13,B119,Control!$C$11:$C$13,"Yes")&gt;0),1,0))</f>
        <v/>
      </c>
      <c r="M119" s="21">
        <f>IF(L119=1,IF(J119="CY",H119,K119),"")</f>
        <v/>
      </c>
      <c r="N119" s="21">
        <f>IF(L119=1,IF(J119="PY",H119,K119),"")</f>
        <v/>
      </c>
      <c r="O119" s="23">
        <f>IF(L119=1,IF(J119="PY",F119*M119/N119,F119),0)</f>
        <v/>
      </c>
      <c r="P119" s="23">
        <f>IF(L119=1,IF(J119="PY",G119*M119/N119,G119),0)</f>
        <v/>
      </c>
      <c r="Q119" s="23">
        <f>IF(AND(L119=1,J119="PY"),F119*(N119-M119)/N119,0)</f>
        <v/>
      </c>
      <c r="R119" s="23">
        <f>IF(AND(L119=1,J119="PY"),G119*(N119-M119)/N119,0)</f>
        <v/>
      </c>
      <c r="S119" s="21">
        <f>IF(COUNTA(A119:G119)=0,"",IF(OR(A119="",B119="",NOT(ISNUMBER(C119))),"Fill market, product and year",IF(COUNTIF(Control!$B$11:$B$13,B119)=0,"Unknown product",IF(COUNTIFS(Dat_A,A119,Dat_B,B119,Dat_C,C119)&gt;1,"Duplicate market/product/year",IF(OR(NOT(ISNUMBER(D119)),NOT(ISNUMBER(E119))),"Add launch date and Data through date",IF(E119&lt;D119,"Data through is before launch",IF(OR(NOT(ISNUMBER(F119)),NOT(ISNUMBER(G119))),"Add units and revenue","OK")))))))</f>
        <v/>
      </c>
    </row>
    <row r="120">
      <c r="A120" s="17" t="n"/>
      <c r="B120" s="17" t="n"/>
      <c r="C120" s="17" t="n"/>
      <c r="D120" s="18" t="n"/>
      <c r="E120" s="18" t="n"/>
      <c r="F120" s="19" t="n"/>
      <c r="G120" s="20" t="n"/>
      <c r="H120" s="21">
        <f>IF(AND(ISNUMBER(D120),ISNUMBER(E120)),E120-D120+1,"")</f>
        <v/>
      </c>
      <c r="I120" s="22">
        <f>IF(AND(ISNUMBER(F120),N(F120)&gt;0,ISNUMBER(G120)),G120/F120,"")</f>
        <v/>
      </c>
      <c r="J120" s="21">
        <f>IF(OR(A120="",B120=""),"",IF(C120=Yr_Cur,"CY",IF(C120=Yr_Prev,"PY","")))</f>
        <v/>
      </c>
      <c r="K120" s="21">
        <f>IF(J120="","",IF(J120="CY",SUMIFS(Dat_H,Dat_A,A120,Dat_B,B120,Dat_C,Yr_Prev),SUMIFS(Dat_H,Dat_A,A120,Dat_B,B120,Dat_C,Yr_Cur)))</f>
        <v/>
      </c>
      <c r="L120" s="21">
        <f>IF(J120="",0,IF(AND(ISNUMBER(H120),N(K120)&gt;0,ISNUMBER(F120),ISNUMBER(G120),OR(Sel_Market="All markets",A120=Sel_Market),COUNTIFS(Control!$B$11:$B$13,B120,Control!$C$11:$C$13,"Yes")&gt;0),1,0))</f>
        <v/>
      </c>
      <c r="M120" s="21">
        <f>IF(L120=1,IF(J120="CY",H120,K120),"")</f>
        <v/>
      </c>
      <c r="N120" s="21">
        <f>IF(L120=1,IF(J120="PY",H120,K120),"")</f>
        <v/>
      </c>
      <c r="O120" s="23">
        <f>IF(L120=1,IF(J120="PY",F120*M120/N120,F120),0)</f>
        <v/>
      </c>
      <c r="P120" s="23">
        <f>IF(L120=1,IF(J120="PY",G120*M120/N120,G120),0)</f>
        <v/>
      </c>
      <c r="Q120" s="23">
        <f>IF(AND(L120=1,J120="PY"),F120*(N120-M120)/N120,0)</f>
        <v/>
      </c>
      <c r="R120" s="23">
        <f>IF(AND(L120=1,J120="PY"),G120*(N120-M120)/N120,0)</f>
        <v/>
      </c>
      <c r="S120" s="21">
        <f>IF(COUNTA(A120:G120)=0,"",IF(OR(A120="",B120="",NOT(ISNUMBER(C120))),"Fill market, product and year",IF(COUNTIF(Control!$B$11:$B$13,B120)=0,"Unknown product",IF(COUNTIFS(Dat_A,A120,Dat_B,B120,Dat_C,C120)&gt;1,"Duplicate market/product/year",IF(OR(NOT(ISNUMBER(D120)),NOT(ISNUMBER(E120))),"Add launch date and Data through date",IF(E120&lt;D120,"Data through is before launch",IF(OR(NOT(ISNUMBER(F120)),NOT(ISNUMBER(G120))),"Add units and revenue","OK")))))))</f>
        <v/>
      </c>
    </row>
    <row r="121">
      <c r="A121" s="17" t="n"/>
      <c r="B121" s="17" t="n"/>
      <c r="C121" s="17" t="n"/>
      <c r="D121" s="18" t="n"/>
      <c r="E121" s="18" t="n"/>
      <c r="F121" s="19" t="n"/>
      <c r="G121" s="20" t="n"/>
      <c r="H121" s="21">
        <f>IF(AND(ISNUMBER(D121),ISNUMBER(E121)),E121-D121+1,"")</f>
        <v/>
      </c>
      <c r="I121" s="22">
        <f>IF(AND(ISNUMBER(F121),N(F121)&gt;0,ISNUMBER(G121)),G121/F121,"")</f>
        <v/>
      </c>
      <c r="J121" s="21">
        <f>IF(OR(A121="",B121=""),"",IF(C121=Yr_Cur,"CY",IF(C121=Yr_Prev,"PY","")))</f>
        <v/>
      </c>
      <c r="K121" s="21">
        <f>IF(J121="","",IF(J121="CY",SUMIFS(Dat_H,Dat_A,A121,Dat_B,B121,Dat_C,Yr_Prev),SUMIFS(Dat_H,Dat_A,A121,Dat_B,B121,Dat_C,Yr_Cur)))</f>
        <v/>
      </c>
      <c r="L121" s="21">
        <f>IF(J121="",0,IF(AND(ISNUMBER(H121),N(K121)&gt;0,ISNUMBER(F121),ISNUMBER(G121),OR(Sel_Market="All markets",A121=Sel_Market),COUNTIFS(Control!$B$11:$B$13,B121,Control!$C$11:$C$13,"Yes")&gt;0),1,0))</f>
        <v/>
      </c>
      <c r="M121" s="21">
        <f>IF(L121=1,IF(J121="CY",H121,K121),"")</f>
        <v/>
      </c>
      <c r="N121" s="21">
        <f>IF(L121=1,IF(J121="PY",H121,K121),"")</f>
        <v/>
      </c>
      <c r="O121" s="23">
        <f>IF(L121=1,IF(J121="PY",F121*M121/N121,F121),0)</f>
        <v/>
      </c>
      <c r="P121" s="23">
        <f>IF(L121=1,IF(J121="PY",G121*M121/N121,G121),0)</f>
        <v/>
      </c>
      <c r="Q121" s="23">
        <f>IF(AND(L121=1,J121="PY"),F121*(N121-M121)/N121,0)</f>
        <v/>
      </c>
      <c r="R121" s="23">
        <f>IF(AND(L121=1,J121="PY"),G121*(N121-M121)/N121,0)</f>
        <v/>
      </c>
      <c r="S121" s="21">
        <f>IF(COUNTA(A121:G121)=0,"",IF(OR(A121="",B121="",NOT(ISNUMBER(C121))),"Fill market, product and year",IF(COUNTIF(Control!$B$11:$B$13,B121)=0,"Unknown product",IF(COUNTIFS(Dat_A,A121,Dat_B,B121,Dat_C,C121)&gt;1,"Duplicate market/product/year",IF(OR(NOT(ISNUMBER(D121)),NOT(ISNUMBER(E121))),"Add launch date and Data through date",IF(E121&lt;D121,"Data through is before launch",IF(OR(NOT(ISNUMBER(F121)),NOT(ISNUMBER(G121))),"Add units and revenue","OK")))))))</f>
        <v/>
      </c>
    </row>
    <row r="122">
      <c r="A122" s="17" t="n"/>
      <c r="B122" s="17" t="n"/>
      <c r="C122" s="17" t="n"/>
      <c r="D122" s="18" t="n"/>
      <c r="E122" s="18" t="n"/>
      <c r="F122" s="19" t="n"/>
      <c r="G122" s="20" t="n"/>
      <c r="H122" s="21">
        <f>IF(AND(ISNUMBER(D122),ISNUMBER(E122)),E122-D122+1,"")</f>
        <v/>
      </c>
      <c r="I122" s="22">
        <f>IF(AND(ISNUMBER(F122),N(F122)&gt;0,ISNUMBER(G122)),G122/F122,"")</f>
        <v/>
      </c>
      <c r="J122" s="21">
        <f>IF(OR(A122="",B122=""),"",IF(C122=Yr_Cur,"CY",IF(C122=Yr_Prev,"PY","")))</f>
        <v/>
      </c>
      <c r="K122" s="21">
        <f>IF(J122="","",IF(J122="CY",SUMIFS(Dat_H,Dat_A,A122,Dat_B,B122,Dat_C,Yr_Prev),SUMIFS(Dat_H,Dat_A,A122,Dat_B,B122,Dat_C,Yr_Cur)))</f>
        <v/>
      </c>
      <c r="L122" s="21">
        <f>IF(J122="",0,IF(AND(ISNUMBER(H122),N(K122)&gt;0,ISNUMBER(F122),ISNUMBER(G122),OR(Sel_Market="All markets",A122=Sel_Market),COUNTIFS(Control!$B$11:$B$13,B122,Control!$C$11:$C$13,"Yes")&gt;0),1,0))</f>
        <v/>
      </c>
      <c r="M122" s="21">
        <f>IF(L122=1,IF(J122="CY",H122,K122),"")</f>
        <v/>
      </c>
      <c r="N122" s="21">
        <f>IF(L122=1,IF(J122="PY",H122,K122),"")</f>
        <v/>
      </c>
      <c r="O122" s="23">
        <f>IF(L122=1,IF(J122="PY",F122*M122/N122,F122),0)</f>
        <v/>
      </c>
      <c r="P122" s="23">
        <f>IF(L122=1,IF(J122="PY",G122*M122/N122,G122),0)</f>
        <v/>
      </c>
      <c r="Q122" s="23">
        <f>IF(AND(L122=1,J122="PY"),F122*(N122-M122)/N122,0)</f>
        <v/>
      </c>
      <c r="R122" s="23">
        <f>IF(AND(L122=1,J122="PY"),G122*(N122-M122)/N122,0)</f>
        <v/>
      </c>
      <c r="S122" s="21">
        <f>IF(COUNTA(A122:G122)=0,"",IF(OR(A122="",B122="",NOT(ISNUMBER(C122))),"Fill market, product and year",IF(COUNTIF(Control!$B$11:$B$13,B122)=0,"Unknown product",IF(COUNTIFS(Dat_A,A122,Dat_B,B122,Dat_C,C122)&gt;1,"Duplicate market/product/year",IF(OR(NOT(ISNUMBER(D122)),NOT(ISNUMBER(E122))),"Add launch date and Data through date",IF(E122&lt;D122,"Data through is before launch",IF(OR(NOT(ISNUMBER(F122)),NOT(ISNUMBER(G122))),"Add units and revenue","OK")))))))</f>
        <v/>
      </c>
    </row>
    <row r="123">
      <c r="A123" s="17" t="n"/>
      <c r="B123" s="17" t="n"/>
      <c r="C123" s="17" t="n"/>
      <c r="D123" s="18" t="n"/>
      <c r="E123" s="18" t="n"/>
      <c r="F123" s="19" t="n"/>
      <c r="G123" s="20" t="n"/>
      <c r="H123" s="21">
        <f>IF(AND(ISNUMBER(D123),ISNUMBER(E123)),E123-D123+1,"")</f>
        <v/>
      </c>
      <c r="I123" s="22">
        <f>IF(AND(ISNUMBER(F123),N(F123)&gt;0,ISNUMBER(G123)),G123/F123,"")</f>
        <v/>
      </c>
      <c r="J123" s="21">
        <f>IF(OR(A123="",B123=""),"",IF(C123=Yr_Cur,"CY",IF(C123=Yr_Prev,"PY","")))</f>
        <v/>
      </c>
      <c r="K123" s="21">
        <f>IF(J123="","",IF(J123="CY",SUMIFS(Dat_H,Dat_A,A123,Dat_B,B123,Dat_C,Yr_Prev),SUMIFS(Dat_H,Dat_A,A123,Dat_B,B123,Dat_C,Yr_Cur)))</f>
        <v/>
      </c>
      <c r="L123" s="21">
        <f>IF(J123="",0,IF(AND(ISNUMBER(H123),N(K123)&gt;0,ISNUMBER(F123),ISNUMBER(G123),OR(Sel_Market="All markets",A123=Sel_Market),COUNTIFS(Control!$B$11:$B$13,B123,Control!$C$11:$C$13,"Yes")&gt;0),1,0))</f>
        <v/>
      </c>
      <c r="M123" s="21">
        <f>IF(L123=1,IF(J123="CY",H123,K123),"")</f>
        <v/>
      </c>
      <c r="N123" s="21">
        <f>IF(L123=1,IF(J123="PY",H123,K123),"")</f>
        <v/>
      </c>
      <c r="O123" s="23">
        <f>IF(L123=1,IF(J123="PY",F123*M123/N123,F123),0)</f>
        <v/>
      </c>
      <c r="P123" s="23">
        <f>IF(L123=1,IF(J123="PY",G123*M123/N123,G123),0)</f>
        <v/>
      </c>
      <c r="Q123" s="23">
        <f>IF(AND(L123=1,J123="PY"),F123*(N123-M123)/N123,0)</f>
        <v/>
      </c>
      <c r="R123" s="23">
        <f>IF(AND(L123=1,J123="PY"),G123*(N123-M123)/N123,0)</f>
        <v/>
      </c>
      <c r="S123" s="21">
        <f>IF(COUNTA(A123:G123)=0,"",IF(OR(A123="",B123="",NOT(ISNUMBER(C123))),"Fill market, product and year",IF(COUNTIF(Control!$B$11:$B$13,B123)=0,"Unknown product",IF(COUNTIFS(Dat_A,A123,Dat_B,B123,Dat_C,C123)&gt;1,"Duplicate market/product/year",IF(OR(NOT(ISNUMBER(D123)),NOT(ISNUMBER(E123))),"Add launch date and Data through date",IF(E123&lt;D123,"Data through is before launch",IF(OR(NOT(ISNUMBER(F123)),NOT(ISNUMBER(G123))),"Add units and revenue","OK")))))))</f>
        <v/>
      </c>
    </row>
    <row r="124">
      <c r="A124" s="17" t="n"/>
      <c r="B124" s="17" t="n"/>
      <c r="C124" s="17" t="n"/>
      <c r="D124" s="18" t="n"/>
      <c r="E124" s="18" t="n"/>
      <c r="F124" s="19" t="n"/>
      <c r="G124" s="20" t="n"/>
      <c r="H124" s="21">
        <f>IF(AND(ISNUMBER(D124),ISNUMBER(E124)),E124-D124+1,"")</f>
        <v/>
      </c>
      <c r="I124" s="22">
        <f>IF(AND(ISNUMBER(F124),N(F124)&gt;0,ISNUMBER(G124)),G124/F124,"")</f>
        <v/>
      </c>
      <c r="J124" s="21">
        <f>IF(OR(A124="",B124=""),"",IF(C124=Yr_Cur,"CY",IF(C124=Yr_Prev,"PY","")))</f>
        <v/>
      </c>
      <c r="K124" s="21">
        <f>IF(J124="","",IF(J124="CY",SUMIFS(Dat_H,Dat_A,A124,Dat_B,B124,Dat_C,Yr_Prev),SUMIFS(Dat_H,Dat_A,A124,Dat_B,B124,Dat_C,Yr_Cur)))</f>
        <v/>
      </c>
      <c r="L124" s="21">
        <f>IF(J124="",0,IF(AND(ISNUMBER(H124),N(K124)&gt;0,ISNUMBER(F124),ISNUMBER(G124),OR(Sel_Market="All markets",A124=Sel_Market),COUNTIFS(Control!$B$11:$B$13,B124,Control!$C$11:$C$13,"Yes")&gt;0),1,0))</f>
        <v/>
      </c>
      <c r="M124" s="21">
        <f>IF(L124=1,IF(J124="CY",H124,K124),"")</f>
        <v/>
      </c>
      <c r="N124" s="21">
        <f>IF(L124=1,IF(J124="PY",H124,K124),"")</f>
        <v/>
      </c>
      <c r="O124" s="23">
        <f>IF(L124=1,IF(J124="PY",F124*M124/N124,F124),0)</f>
        <v/>
      </c>
      <c r="P124" s="23">
        <f>IF(L124=1,IF(J124="PY",G124*M124/N124,G124),0)</f>
        <v/>
      </c>
      <c r="Q124" s="23">
        <f>IF(AND(L124=1,J124="PY"),F124*(N124-M124)/N124,0)</f>
        <v/>
      </c>
      <c r="R124" s="23">
        <f>IF(AND(L124=1,J124="PY"),G124*(N124-M124)/N124,0)</f>
        <v/>
      </c>
      <c r="S124" s="21">
        <f>IF(COUNTA(A124:G124)=0,"",IF(OR(A124="",B124="",NOT(ISNUMBER(C124))),"Fill market, product and year",IF(COUNTIF(Control!$B$11:$B$13,B124)=0,"Unknown product",IF(COUNTIFS(Dat_A,A124,Dat_B,B124,Dat_C,C124)&gt;1,"Duplicate market/product/year",IF(OR(NOT(ISNUMBER(D124)),NOT(ISNUMBER(E124))),"Add launch date and Data through date",IF(E124&lt;D124,"Data through is before launch",IF(OR(NOT(ISNUMBER(F124)),NOT(ISNUMBER(G124))),"Add units and revenue","OK")))))))</f>
        <v/>
      </c>
    </row>
    <row r="125">
      <c r="A125" s="17" t="n"/>
      <c r="B125" s="17" t="n"/>
      <c r="C125" s="17" t="n"/>
      <c r="D125" s="18" t="n"/>
      <c r="E125" s="18" t="n"/>
      <c r="F125" s="19" t="n"/>
      <c r="G125" s="20" t="n"/>
      <c r="H125" s="21">
        <f>IF(AND(ISNUMBER(D125),ISNUMBER(E125)),E125-D125+1,"")</f>
        <v/>
      </c>
      <c r="I125" s="22">
        <f>IF(AND(ISNUMBER(F125),N(F125)&gt;0,ISNUMBER(G125)),G125/F125,"")</f>
        <v/>
      </c>
      <c r="J125" s="21">
        <f>IF(OR(A125="",B125=""),"",IF(C125=Yr_Cur,"CY",IF(C125=Yr_Prev,"PY","")))</f>
        <v/>
      </c>
      <c r="K125" s="21">
        <f>IF(J125="","",IF(J125="CY",SUMIFS(Dat_H,Dat_A,A125,Dat_B,B125,Dat_C,Yr_Prev),SUMIFS(Dat_H,Dat_A,A125,Dat_B,B125,Dat_C,Yr_Cur)))</f>
        <v/>
      </c>
      <c r="L125" s="21">
        <f>IF(J125="",0,IF(AND(ISNUMBER(H125),N(K125)&gt;0,ISNUMBER(F125),ISNUMBER(G125),OR(Sel_Market="All markets",A125=Sel_Market),COUNTIFS(Control!$B$11:$B$13,B125,Control!$C$11:$C$13,"Yes")&gt;0),1,0))</f>
        <v/>
      </c>
      <c r="M125" s="21">
        <f>IF(L125=1,IF(J125="CY",H125,K125),"")</f>
        <v/>
      </c>
      <c r="N125" s="21">
        <f>IF(L125=1,IF(J125="PY",H125,K125),"")</f>
        <v/>
      </c>
      <c r="O125" s="23">
        <f>IF(L125=1,IF(J125="PY",F125*M125/N125,F125),0)</f>
        <v/>
      </c>
      <c r="P125" s="23">
        <f>IF(L125=1,IF(J125="PY",G125*M125/N125,G125),0)</f>
        <v/>
      </c>
      <c r="Q125" s="23">
        <f>IF(AND(L125=1,J125="PY"),F125*(N125-M125)/N125,0)</f>
        <v/>
      </c>
      <c r="R125" s="23">
        <f>IF(AND(L125=1,J125="PY"),G125*(N125-M125)/N125,0)</f>
        <v/>
      </c>
      <c r="S125" s="21">
        <f>IF(COUNTA(A125:G125)=0,"",IF(OR(A125="",B125="",NOT(ISNUMBER(C125))),"Fill market, product and year",IF(COUNTIF(Control!$B$11:$B$13,B125)=0,"Unknown product",IF(COUNTIFS(Dat_A,A125,Dat_B,B125,Dat_C,C125)&gt;1,"Duplicate market/product/year",IF(OR(NOT(ISNUMBER(D125)),NOT(ISNUMBER(E125))),"Add launch date and Data through date",IF(E125&lt;D125,"Data through is before launch",IF(OR(NOT(ISNUMBER(F125)),NOT(ISNUMBER(G125))),"Add units and revenue","OK")))))))</f>
        <v/>
      </c>
    </row>
    <row r="126">
      <c r="A126" s="17" t="n"/>
      <c r="B126" s="17" t="n"/>
      <c r="C126" s="17" t="n"/>
      <c r="D126" s="18" t="n"/>
      <c r="E126" s="18" t="n"/>
      <c r="F126" s="19" t="n"/>
      <c r="G126" s="20" t="n"/>
      <c r="H126" s="21">
        <f>IF(AND(ISNUMBER(D126),ISNUMBER(E126)),E126-D126+1,"")</f>
        <v/>
      </c>
      <c r="I126" s="22">
        <f>IF(AND(ISNUMBER(F126),N(F126)&gt;0,ISNUMBER(G126)),G126/F126,"")</f>
        <v/>
      </c>
      <c r="J126" s="21">
        <f>IF(OR(A126="",B126=""),"",IF(C126=Yr_Cur,"CY",IF(C126=Yr_Prev,"PY","")))</f>
        <v/>
      </c>
      <c r="K126" s="21">
        <f>IF(J126="","",IF(J126="CY",SUMIFS(Dat_H,Dat_A,A126,Dat_B,B126,Dat_C,Yr_Prev),SUMIFS(Dat_H,Dat_A,A126,Dat_B,B126,Dat_C,Yr_Cur)))</f>
        <v/>
      </c>
      <c r="L126" s="21">
        <f>IF(J126="",0,IF(AND(ISNUMBER(H126),N(K126)&gt;0,ISNUMBER(F126),ISNUMBER(G126),OR(Sel_Market="All markets",A126=Sel_Market),COUNTIFS(Control!$B$11:$B$13,B126,Control!$C$11:$C$13,"Yes")&gt;0),1,0))</f>
        <v/>
      </c>
      <c r="M126" s="21">
        <f>IF(L126=1,IF(J126="CY",H126,K126),"")</f>
        <v/>
      </c>
      <c r="N126" s="21">
        <f>IF(L126=1,IF(J126="PY",H126,K126),"")</f>
        <v/>
      </c>
      <c r="O126" s="23">
        <f>IF(L126=1,IF(J126="PY",F126*M126/N126,F126),0)</f>
        <v/>
      </c>
      <c r="P126" s="23">
        <f>IF(L126=1,IF(J126="PY",G126*M126/N126,G126),0)</f>
        <v/>
      </c>
      <c r="Q126" s="23">
        <f>IF(AND(L126=1,J126="PY"),F126*(N126-M126)/N126,0)</f>
        <v/>
      </c>
      <c r="R126" s="23">
        <f>IF(AND(L126=1,J126="PY"),G126*(N126-M126)/N126,0)</f>
        <v/>
      </c>
      <c r="S126" s="21">
        <f>IF(COUNTA(A126:G126)=0,"",IF(OR(A126="",B126="",NOT(ISNUMBER(C126))),"Fill market, product and year",IF(COUNTIF(Control!$B$11:$B$13,B126)=0,"Unknown product",IF(COUNTIFS(Dat_A,A126,Dat_B,B126,Dat_C,C126)&gt;1,"Duplicate market/product/year",IF(OR(NOT(ISNUMBER(D126)),NOT(ISNUMBER(E126))),"Add launch date and Data through date",IF(E126&lt;D126,"Data through is before launch",IF(OR(NOT(ISNUMBER(F126)),NOT(ISNUMBER(G126))),"Add units and revenue","OK")))))))</f>
        <v/>
      </c>
    </row>
    <row r="127">
      <c r="A127" s="17" t="n"/>
      <c r="B127" s="17" t="n"/>
      <c r="C127" s="17" t="n"/>
      <c r="D127" s="18" t="n"/>
      <c r="E127" s="18" t="n"/>
      <c r="F127" s="19" t="n"/>
      <c r="G127" s="20" t="n"/>
      <c r="H127" s="21">
        <f>IF(AND(ISNUMBER(D127),ISNUMBER(E127)),E127-D127+1,"")</f>
        <v/>
      </c>
      <c r="I127" s="22">
        <f>IF(AND(ISNUMBER(F127),N(F127)&gt;0,ISNUMBER(G127)),G127/F127,"")</f>
        <v/>
      </c>
      <c r="J127" s="21">
        <f>IF(OR(A127="",B127=""),"",IF(C127=Yr_Cur,"CY",IF(C127=Yr_Prev,"PY","")))</f>
        <v/>
      </c>
      <c r="K127" s="21">
        <f>IF(J127="","",IF(J127="CY",SUMIFS(Dat_H,Dat_A,A127,Dat_B,B127,Dat_C,Yr_Prev),SUMIFS(Dat_H,Dat_A,A127,Dat_B,B127,Dat_C,Yr_Cur)))</f>
        <v/>
      </c>
      <c r="L127" s="21">
        <f>IF(J127="",0,IF(AND(ISNUMBER(H127),N(K127)&gt;0,ISNUMBER(F127),ISNUMBER(G127),OR(Sel_Market="All markets",A127=Sel_Market),COUNTIFS(Control!$B$11:$B$13,B127,Control!$C$11:$C$13,"Yes")&gt;0),1,0))</f>
        <v/>
      </c>
      <c r="M127" s="21">
        <f>IF(L127=1,IF(J127="CY",H127,K127),"")</f>
        <v/>
      </c>
      <c r="N127" s="21">
        <f>IF(L127=1,IF(J127="PY",H127,K127),"")</f>
        <v/>
      </c>
      <c r="O127" s="23">
        <f>IF(L127=1,IF(J127="PY",F127*M127/N127,F127),0)</f>
        <v/>
      </c>
      <c r="P127" s="23">
        <f>IF(L127=1,IF(J127="PY",G127*M127/N127,G127),0)</f>
        <v/>
      </c>
      <c r="Q127" s="23">
        <f>IF(AND(L127=1,J127="PY"),F127*(N127-M127)/N127,0)</f>
        <v/>
      </c>
      <c r="R127" s="23">
        <f>IF(AND(L127=1,J127="PY"),G127*(N127-M127)/N127,0)</f>
        <v/>
      </c>
      <c r="S127" s="21">
        <f>IF(COUNTA(A127:G127)=0,"",IF(OR(A127="",B127="",NOT(ISNUMBER(C127))),"Fill market, product and year",IF(COUNTIF(Control!$B$11:$B$13,B127)=0,"Unknown product",IF(COUNTIFS(Dat_A,A127,Dat_B,B127,Dat_C,C127)&gt;1,"Duplicate market/product/year",IF(OR(NOT(ISNUMBER(D127)),NOT(ISNUMBER(E127))),"Add launch date and Data through date",IF(E127&lt;D127,"Data through is before launch",IF(OR(NOT(ISNUMBER(F127)),NOT(ISNUMBER(G127))),"Add units and revenue","OK")))))))</f>
        <v/>
      </c>
    </row>
    <row r="128">
      <c r="A128" s="17" t="n"/>
      <c r="B128" s="17" t="n"/>
      <c r="C128" s="17" t="n"/>
      <c r="D128" s="18" t="n"/>
      <c r="E128" s="18" t="n"/>
      <c r="F128" s="19" t="n"/>
      <c r="G128" s="20" t="n"/>
      <c r="H128" s="21">
        <f>IF(AND(ISNUMBER(D128),ISNUMBER(E128)),E128-D128+1,"")</f>
        <v/>
      </c>
      <c r="I128" s="22">
        <f>IF(AND(ISNUMBER(F128),N(F128)&gt;0,ISNUMBER(G128)),G128/F128,"")</f>
        <v/>
      </c>
      <c r="J128" s="21">
        <f>IF(OR(A128="",B128=""),"",IF(C128=Yr_Cur,"CY",IF(C128=Yr_Prev,"PY","")))</f>
        <v/>
      </c>
      <c r="K128" s="21">
        <f>IF(J128="","",IF(J128="CY",SUMIFS(Dat_H,Dat_A,A128,Dat_B,B128,Dat_C,Yr_Prev),SUMIFS(Dat_H,Dat_A,A128,Dat_B,B128,Dat_C,Yr_Cur)))</f>
        <v/>
      </c>
      <c r="L128" s="21">
        <f>IF(J128="",0,IF(AND(ISNUMBER(H128),N(K128)&gt;0,ISNUMBER(F128),ISNUMBER(G128),OR(Sel_Market="All markets",A128=Sel_Market),COUNTIFS(Control!$B$11:$B$13,B128,Control!$C$11:$C$13,"Yes")&gt;0),1,0))</f>
        <v/>
      </c>
      <c r="M128" s="21">
        <f>IF(L128=1,IF(J128="CY",H128,K128),"")</f>
        <v/>
      </c>
      <c r="N128" s="21">
        <f>IF(L128=1,IF(J128="PY",H128,K128),"")</f>
        <v/>
      </c>
      <c r="O128" s="23">
        <f>IF(L128=1,IF(J128="PY",F128*M128/N128,F128),0)</f>
        <v/>
      </c>
      <c r="P128" s="23">
        <f>IF(L128=1,IF(J128="PY",G128*M128/N128,G128),0)</f>
        <v/>
      </c>
      <c r="Q128" s="23">
        <f>IF(AND(L128=1,J128="PY"),F128*(N128-M128)/N128,0)</f>
        <v/>
      </c>
      <c r="R128" s="23">
        <f>IF(AND(L128=1,J128="PY"),G128*(N128-M128)/N128,0)</f>
        <v/>
      </c>
      <c r="S128" s="21">
        <f>IF(COUNTA(A128:G128)=0,"",IF(OR(A128="",B128="",NOT(ISNUMBER(C128))),"Fill market, product and year",IF(COUNTIF(Control!$B$11:$B$13,B128)=0,"Unknown product",IF(COUNTIFS(Dat_A,A128,Dat_B,B128,Dat_C,C128)&gt;1,"Duplicate market/product/year",IF(OR(NOT(ISNUMBER(D128)),NOT(ISNUMBER(E128))),"Add launch date and Data through date",IF(E128&lt;D128,"Data through is before launch",IF(OR(NOT(ISNUMBER(F128)),NOT(ISNUMBER(G128))),"Add units and revenue","OK")))))))</f>
        <v/>
      </c>
    </row>
    <row r="129">
      <c r="A129" s="17" t="n"/>
      <c r="B129" s="17" t="n"/>
      <c r="C129" s="17" t="n"/>
      <c r="D129" s="18" t="n"/>
      <c r="E129" s="18" t="n"/>
      <c r="F129" s="19" t="n"/>
      <c r="G129" s="20" t="n"/>
      <c r="H129" s="21">
        <f>IF(AND(ISNUMBER(D129),ISNUMBER(E129)),E129-D129+1,"")</f>
        <v/>
      </c>
      <c r="I129" s="22">
        <f>IF(AND(ISNUMBER(F129),N(F129)&gt;0,ISNUMBER(G129)),G129/F129,"")</f>
        <v/>
      </c>
      <c r="J129" s="21">
        <f>IF(OR(A129="",B129=""),"",IF(C129=Yr_Cur,"CY",IF(C129=Yr_Prev,"PY","")))</f>
        <v/>
      </c>
      <c r="K129" s="21">
        <f>IF(J129="","",IF(J129="CY",SUMIFS(Dat_H,Dat_A,A129,Dat_B,B129,Dat_C,Yr_Prev),SUMIFS(Dat_H,Dat_A,A129,Dat_B,B129,Dat_C,Yr_Cur)))</f>
        <v/>
      </c>
      <c r="L129" s="21">
        <f>IF(J129="",0,IF(AND(ISNUMBER(H129),N(K129)&gt;0,ISNUMBER(F129),ISNUMBER(G129),OR(Sel_Market="All markets",A129=Sel_Market),COUNTIFS(Control!$B$11:$B$13,B129,Control!$C$11:$C$13,"Yes")&gt;0),1,0))</f>
        <v/>
      </c>
      <c r="M129" s="21">
        <f>IF(L129=1,IF(J129="CY",H129,K129),"")</f>
        <v/>
      </c>
      <c r="N129" s="21">
        <f>IF(L129=1,IF(J129="PY",H129,K129),"")</f>
        <v/>
      </c>
      <c r="O129" s="23">
        <f>IF(L129=1,IF(J129="PY",F129*M129/N129,F129),0)</f>
        <v/>
      </c>
      <c r="P129" s="23">
        <f>IF(L129=1,IF(J129="PY",G129*M129/N129,G129),0)</f>
        <v/>
      </c>
      <c r="Q129" s="23">
        <f>IF(AND(L129=1,J129="PY"),F129*(N129-M129)/N129,0)</f>
        <v/>
      </c>
      <c r="R129" s="23">
        <f>IF(AND(L129=1,J129="PY"),G129*(N129-M129)/N129,0)</f>
        <v/>
      </c>
      <c r="S129" s="21">
        <f>IF(COUNTA(A129:G129)=0,"",IF(OR(A129="",B129="",NOT(ISNUMBER(C129))),"Fill market, product and year",IF(COUNTIF(Control!$B$11:$B$13,B129)=0,"Unknown product",IF(COUNTIFS(Dat_A,A129,Dat_B,B129,Dat_C,C129)&gt;1,"Duplicate market/product/year",IF(OR(NOT(ISNUMBER(D129)),NOT(ISNUMBER(E129))),"Add launch date and Data through date",IF(E129&lt;D129,"Data through is before launch",IF(OR(NOT(ISNUMBER(F129)),NOT(ISNUMBER(G129))),"Add units and revenue","OK")))))))</f>
        <v/>
      </c>
    </row>
    <row r="130">
      <c r="A130" s="17" t="n"/>
      <c r="B130" s="17" t="n"/>
      <c r="C130" s="17" t="n"/>
      <c r="D130" s="18" t="n"/>
      <c r="E130" s="18" t="n"/>
      <c r="F130" s="19" t="n"/>
      <c r="G130" s="20" t="n"/>
      <c r="H130" s="21">
        <f>IF(AND(ISNUMBER(D130),ISNUMBER(E130)),E130-D130+1,"")</f>
        <v/>
      </c>
      <c r="I130" s="22">
        <f>IF(AND(ISNUMBER(F130),N(F130)&gt;0,ISNUMBER(G130)),G130/F130,"")</f>
        <v/>
      </c>
      <c r="J130" s="21">
        <f>IF(OR(A130="",B130=""),"",IF(C130=Yr_Cur,"CY",IF(C130=Yr_Prev,"PY","")))</f>
        <v/>
      </c>
      <c r="K130" s="21">
        <f>IF(J130="","",IF(J130="CY",SUMIFS(Dat_H,Dat_A,A130,Dat_B,B130,Dat_C,Yr_Prev),SUMIFS(Dat_H,Dat_A,A130,Dat_B,B130,Dat_C,Yr_Cur)))</f>
        <v/>
      </c>
      <c r="L130" s="21">
        <f>IF(J130="",0,IF(AND(ISNUMBER(H130),N(K130)&gt;0,ISNUMBER(F130),ISNUMBER(G130),OR(Sel_Market="All markets",A130=Sel_Market),COUNTIFS(Control!$B$11:$B$13,B130,Control!$C$11:$C$13,"Yes")&gt;0),1,0))</f>
        <v/>
      </c>
      <c r="M130" s="21">
        <f>IF(L130=1,IF(J130="CY",H130,K130),"")</f>
        <v/>
      </c>
      <c r="N130" s="21">
        <f>IF(L130=1,IF(J130="PY",H130,K130),"")</f>
        <v/>
      </c>
      <c r="O130" s="23">
        <f>IF(L130=1,IF(J130="PY",F130*M130/N130,F130),0)</f>
        <v/>
      </c>
      <c r="P130" s="23">
        <f>IF(L130=1,IF(J130="PY",G130*M130/N130,G130),0)</f>
        <v/>
      </c>
      <c r="Q130" s="23">
        <f>IF(AND(L130=1,J130="PY"),F130*(N130-M130)/N130,0)</f>
        <v/>
      </c>
      <c r="R130" s="23">
        <f>IF(AND(L130=1,J130="PY"),G130*(N130-M130)/N130,0)</f>
        <v/>
      </c>
      <c r="S130" s="21">
        <f>IF(COUNTA(A130:G130)=0,"",IF(OR(A130="",B130="",NOT(ISNUMBER(C130))),"Fill market, product and year",IF(COUNTIF(Control!$B$11:$B$13,B130)=0,"Unknown product",IF(COUNTIFS(Dat_A,A130,Dat_B,B130,Dat_C,C130)&gt;1,"Duplicate market/product/year",IF(OR(NOT(ISNUMBER(D130)),NOT(ISNUMBER(E130))),"Add launch date and Data through date",IF(E130&lt;D130,"Data through is before launch",IF(OR(NOT(ISNUMBER(F130)),NOT(ISNUMBER(G130))),"Add units and revenue","OK")))))))</f>
        <v/>
      </c>
    </row>
    <row r="131">
      <c r="A131" s="17" t="n"/>
      <c r="B131" s="17" t="n"/>
      <c r="C131" s="17" t="n"/>
      <c r="D131" s="18" t="n"/>
      <c r="E131" s="18" t="n"/>
      <c r="F131" s="19" t="n"/>
      <c r="G131" s="20" t="n"/>
      <c r="H131" s="21">
        <f>IF(AND(ISNUMBER(D131),ISNUMBER(E131)),E131-D131+1,"")</f>
        <v/>
      </c>
      <c r="I131" s="22">
        <f>IF(AND(ISNUMBER(F131),N(F131)&gt;0,ISNUMBER(G131)),G131/F131,"")</f>
        <v/>
      </c>
      <c r="J131" s="21">
        <f>IF(OR(A131="",B131=""),"",IF(C131=Yr_Cur,"CY",IF(C131=Yr_Prev,"PY","")))</f>
        <v/>
      </c>
      <c r="K131" s="21">
        <f>IF(J131="","",IF(J131="CY",SUMIFS(Dat_H,Dat_A,A131,Dat_B,B131,Dat_C,Yr_Prev),SUMIFS(Dat_H,Dat_A,A131,Dat_B,B131,Dat_C,Yr_Cur)))</f>
        <v/>
      </c>
      <c r="L131" s="21">
        <f>IF(J131="",0,IF(AND(ISNUMBER(H131),N(K131)&gt;0,ISNUMBER(F131),ISNUMBER(G131),OR(Sel_Market="All markets",A131=Sel_Market),COUNTIFS(Control!$B$11:$B$13,B131,Control!$C$11:$C$13,"Yes")&gt;0),1,0))</f>
        <v/>
      </c>
      <c r="M131" s="21">
        <f>IF(L131=1,IF(J131="CY",H131,K131),"")</f>
        <v/>
      </c>
      <c r="N131" s="21">
        <f>IF(L131=1,IF(J131="PY",H131,K131),"")</f>
        <v/>
      </c>
      <c r="O131" s="23">
        <f>IF(L131=1,IF(J131="PY",F131*M131/N131,F131),0)</f>
        <v/>
      </c>
      <c r="P131" s="23">
        <f>IF(L131=1,IF(J131="PY",G131*M131/N131,G131),0)</f>
        <v/>
      </c>
      <c r="Q131" s="23">
        <f>IF(AND(L131=1,J131="PY"),F131*(N131-M131)/N131,0)</f>
        <v/>
      </c>
      <c r="R131" s="23">
        <f>IF(AND(L131=1,J131="PY"),G131*(N131-M131)/N131,0)</f>
        <v/>
      </c>
      <c r="S131" s="21">
        <f>IF(COUNTA(A131:G131)=0,"",IF(OR(A131="",B131="",NOT(ISNUMBER(C131))),"Fill market, product and year",IF(COUNTIF(Control!$B$11:$B$13,B131)=0,"Unknown product",IF(COUNTIFS(Dat_A,A131,Dat_B,B131,Dat_C,C131)&gt;1,"Duplicate market/product/year",IF(OR(NOT(ISNUMBER(D131)),NOT(ISNUMBER(E131))),"Add launch date and Data through date",IF(E131&lt;D131,"Data through is before launch",IF(OR(NOT(ISNUMBER(F131)),NOT(ISNUMBER(G131))),"Add units and revenue","OK")))))))</f>
        <v/>
      </c>
    </row>
    <row r="132">
      <c r="A132" s="17" t="n"/>
      <c r="B132" s="17" t="n"/>
      <c r="C132" s="17" t="n"/>
      <c r="D132" s="18" t="n"/>
      <c r="E132" s="18" t="n"/>
      <c r="F132" s="19" t="n"/>
      <c r="G132" s="20" t="n"/>
      <c r="H132" s="21">
        <f>IF(AND(ISNUMBER(D132),ISNUMBER(E132)),E132-D132+1,"")</f>
        <v/>
      </c>
      <c r="I132" s="22">
        <f>IF(AND(ISNUMBER(F132),N(F132)&gt;0,ISNUMBER(G132)),G132/F132,"")</f>
        <v/>
      </c>
      <c r="J132" s="21">
        <f>IF(OR(A132="",B132=""),"",IF(C132=Yr_Cur,"CY",IF(C132=Yr_Prev,"PY","")))</f>
        <v/>
      </c>
      <c r="K132" s="21">
        <f>IF(J132="","",IF(J132="CY",SUMIFS(Dat_H,Dat_A,A132,Dat_B,B132,Dat_C,Yr_Prev),SUMIFS(Dat_H,Dat_A,A132,Dat_B,B132,Dat_C,Yr_Cur)))</f>
        <v/>
      </c>
      <c r="L132" s="21">
        <f>IF(J132="",0,IF(AND(ISNUMBER(H132),N(K132)&gt;0,ISNUMBER(F132),ISNUMBER(G132),OR(Sel_Market="All markets",A132=Sel_Market),COUNTIFS(Control!$B$11:$B$13,B132,Control!$C$11:$C$13,"Yes")&gt;0),1,0))</f>
        <v/>
      </c>
      <c r="M132" s="21">
        <f>IF(L132=1,IF(J132="CY",H132,K132),"")</f>
        <v/>
      </c>
      <c r="N132" s="21">
        <f>IF(L132=1,IF(J132="PY",H132,K132),"")</f>
        <v/>
      </c>
      <c r="O132" s="23">
        <f>IF(L132=1,IF(J132="PY",F132*M132/N132,F132),0)</f>
        <v/>
      </c>
      <c r="P132" s="23">
        <f>IF(L132=1,IF(J132="PY",G132*M132/N132,G132),0)</f>
        <v/>
      </c>
      <c r="Q132" s="23">
        <f>IF(AND(L132=1,J132="PY"),F132*(N132-M132)/N132,0)</f>
        <v/>
      </c>
      <c r="R132" s="23">
        <f>IF(AND(L132=1,J132="PY"),G132*(N132-M132)/N132,0)</f>
        <v/>
      </c>
      <c r="S132" s="21">
        <f>IF(COUNTA(A132:G132)=0,"",IF(OR(A132="",B132="",NOT(ISNUMBER(C132))),"Fill market, product and year",IF(COUNTIF(Control!$B$11:$B$13,B132)=0,"Unknown product",IF(COUNTIFS(Dat_A,A132,Dat_B,B132,Dat_C,C132)&gt;1,"Duplicate market/product/year",IF(OR(NOT(ISNUMBER(D132)),NOT(ISNUMBER(E132))),"Add launch date and Data through date",IF(E132&lt;D132,"Data through is before launch",IF(OR(NOT(ISNUMBER(F132)),NOT(ISNUMBER(G132))),"Add units and revenue","OK")))))))</f>
        <v/>
      </c>
    </row>
    <row r="133">
      <c r="A133" s="17" t="n"/>
      <c r="B133" s="17" t="n"/>
      <c r="C133" s="17" t="n"/>
      <c r="D133" s="18" t="n"/>
      <c r="E133" s="18" t="n"/>
      <c r="F133" s="19" t="n"/>
      <c r="G133" s="20" t="n"/>
      <c r="H133" s="21">
        <f>IF(AND(ISNUMBER(D133),ISNUMBER(E133)),E133-D133+1,"")</f>
        <v/>
      </c>
      <c r="I133" s="22">
        <f>IF(AND(ISNUMBER(F133),N(F133)&gt;0,ISNUMBER(G133)),G133/F133,"")</f>
        <v/>
      </c>
      <c r="J133" s="21">
        <f>IF(OR(A133="",B133=""),"",IF(C133=Yr_Cur,"CY",IF(C133=Yr_Prev,"PY","")))</f>
        <v/>
      </c>
      <c r="K133" s="21">
        <f>IF(J133="","",IF(J133="CY",SUMIFS(Dat_H,Dat_A,A133,Dat_B,B133,Dat_C,Yr_Prev),SUMIFS(Dat_H,Dat_A,A133,Dat_B,B133,Dat_C,Yr_Cur)))</f>
        <v/>
      </c>
      <c r="L133" s="21">
        <f>IF(J133="",0,IF(AND(ISNUMBER(H133),N(K133)&gt;0,ISNUMBER(F133),ISNUMBER(G133),OR(Sel_Market="All markets",A133=Sel_Market),COUNTIFS(Control!$B$11:$B$13,B133,Control!$C$11:$C$13,"Yes")&gt;0),1,0))</f>
        <v/>
      </c>
      <c r="M133" s="21">
        <f>IF(L133=1,IF(J133="CY",H133,K133),"")</f>
        <v/>
      </c>
      <c r="N133" s="21">
        <f>IF(L133=1,IF(J133="PY",H133,K133),"")</f>
        <v/>
      </c>
      <c r="O133" s="23">
        <f>IF(L133=1,IF(J133="PY",F133*M133/N133,F133),0)</f>
        <v/>
      </c>
      <c r="P133" s="23">
        <f>IF(L133=1,IF(J133="PY",G133*M133/N133,G133),0)</f>
        <v/>
      </c>
      <c r="Q133" s="23">
        <f>IF(AND(L133=1,J133="PY"),F133*(N133-M133)/N133,0)</f>
        <v/>
      </c>
      <c r="R133" s="23">
        <f>IF(AND(L133=1,J133="PY"),G133*(N133-M133)/N133,0)</f>
        <v/>
      </c>
      <c r="S133" s="21">
        <f>IF(COUNTA(A133:G133)=0,"",IF(OR(A133="",B133="",NOT(ISNUMBER(C133))),"Fill market, product and year",IF(COUNTIF(Control!$B$11:$B$13,B133)=0,"Unknown product",IF(COUNTIFS(Dat_A,A133,Dat_B,B133,Dat_C,C133)&gt;1,"Duplicate market/product/year",IF(OR(NOT(ISNUMBER(D133)),NOT(ISNUMBER(E133))),"Add launch date and Data through date",IF(E133&lt;D133,"Data through is before launch",IF(OR(NOT(ISNUMBER(F133)),NOT(ISNUMBER(G133))),"Add units and revenue","OK")))))))</f>
        <v/>
      </c>
    </row>
    <row r="134">
      <c r="A134" s="17" t="n"/>
      <c r="B134" s="17" t="n"/>
      <c r="C134" s="17" t="n"/>
      <c r="D134" s="18" t="n"/>
      <c r="E134" s="18" t="n"/>
      <c r="F134" s="19" t="n"/>
      <c r="G134" s="20" t="n"/>
      <c r="H134" s="21">
        <f>IF(AND(ISNUMBER(D134),ISNUMBER(E134)),E134-D134+1,"")</f>
        <v/>
      </c>
      <c r="I134" s="22">
        <f>IF(AND(ISNUMBER(F134),N(F134)&gt;0,ISNUMBER(G134)),G134/F134,"")</f>
        <v/>
      </c>
      <c r="J134" s="21">
        <f>IF(OR(A134="",B134=""),"",IF(C134=Yr_Cur,"CY",IF(C134=Yr_Prev,"PY","")))</f>
        <v/>
      </c>
      <c r="K134" s="21">
        <f>IF(J134="","",IF(J134="CY",SUMIFS(Dat_H,Dat_A,A134,Dat_B,B134,Dat_C,Yr_Prev),SUMIFS(Dat_H,Dat_A,A134,Dat_B,B134,Dat_C,Yr_Cur)))</f>
        <v/>
      </c>
      <c r="L134" s="21">
        <f>IF(J134="",0,IF(AND(ISNUMBER(H134),N(K134)&gt;0,ISNUMBER(F134),ISNUMBER(G134),OR(Sel_Market="All markets",A134=Sel_Market),COUNTIFS(Control!$B$11:$B$13,B134,Control!$C$11:$C$13,"Yes")&gt;0),1,0))</f>
        <v/>
      </c>
      <c r="M134" s="21">
        <f>IF(L134=1,IF(J134="CY",H134,K134),"")</f>
        <v/>
      </c>
      <c r="N134" s="21">
        <f>IF(L134=1,IF(J134="PY",H134,K134),"")</f>
        <v/>
      </c>
      <c r="O134" s="23">
        <f>IF(L134=1,IF(J134="PY",F134*M134/N134,F134),0)</f>
        <v/>
      </c>
      <c r="P134" s="23">
        <f>IF(L134=1,IF(J134="PY",G134*M134/N134,G134),0)</f>
        <v/>
      </c>
      <c r="Q134" s="23">
        <f>IF(AND(L134=1,J134="PY"),F134*(N134-M134)/N134,0)</f>
        <v/>
      </c>
      <c r="R134" s="23">
        <f>IF(AND(L134=1,J134="PY"),G134*(N134-M134)/N134,0)</f>
        <v/>
      </c>
      <c r="S134" s="21">
        <f>IF(COUNTA(A134:G134)=0,"",IF(OR(A134="",B134="",NOT(ISNUMBER(C134))),"Fill market, product and year",IF(COUNTIF(Control!$B$11:$B$13,B134)=0,"Unknown product",IF(COUNTIFS(Dat_A,A134,Dat_B,B134,Dat_C,C134)&gt;1,"Duplicate market/product/year",IF(OR(NOT(ISNUMBER(D134)),NOT(ISNUMBER(E134))),"Add launch date and Data through date",IF(E134&lt;D134,"Data through is before launch",IF(OR(NOT(ISNUMBER(F134)),NOT(ISNUMBER(G134))),"Add units and revenue","OK")))))))</f>
        <v/>
      </c>
    </row>
    <row r="135">
      <c r="A135" s="17" t="n"/>
      <c r="B135" s="17" t="n"/>
      <c r="C135" s="17" t="n"/>
      <c r="D135" s="18" t="n"/>
      <c r="E135" s="18" t="n"/>
      <c r="F135" s="19" t="n"/>
      <c r="G135" s="20" t="n"/>
      <c r="H135" s="21">
        <f>IF(AND(ISNUMBER(D135),ISNUMBER(E135)),E135-D135+1,"")</f>
        <v/>
      </c>
      <c r="I135" s="22">
        <f>IF(AND(ISNUMBER(F135),N(F135)&gt;0,ISNUMBER(G135)),G135/F135,"")</f>
        <v/>
      </c>
      <c r="J135" s="21">
        <f>IF(OR(A135="",B135=""),"",IF(C135=Yr_Cur,"CY",IF(C135=Yr_Prev,"PY","")))</f>
        <v/>
      </c>
      <c r="K135" s="21">
        <f>IF(J135="","",IF(J135="CY",SUMIFS(Dat_H,Dat_A,A135,Dat_B,B135,Dat_C,Yr_Prev),SUMIFS(Dat_H,Dat_A,A135,Dat_B,B135,Dat_C,Yr_Cur)))</f>
        <v/>
      </c>
      <c r="L135" s="21">
        <f>IF(J135="",0,IF(AND(ISNUMBER(H135),N(K135)&gt;0,ISNUMBER(F135),ISNUMBER(G135),OR(Sel_Market="All markets",A135=Sel_Market),COUNTIFS(Control!$B$11:$B$13,B135,Control!$C$11:$C$13,"Yes")&gt;0),1,0))</f>
        <v/>
      </c>
      <c r="M135" s="21">
        <f>IF(L135=1,IF(J135="CY",H135,K135),"")</f>
        <v/>
      </c>
      <c r="N135" s="21">
        <f>IF(L135=1,IF(J135="PY",H135,K135),"")</f>
        <v/>
      </c>
      <c r="O135" s="23">
        <f>IF(L135=1,IF(J135="PY",F135*M135/N135,F135),0)</f>
        <v/>
      </c>
      <c r="P135" s="23">
        <f>IF(L135=1,IF(J135="PY",G135*M135/N135,G135),0)</f>
        <v/>
      </c>
      <c r="Q135" s="23">
        <f>IF(AND(L135=1,J135="PY"),F135*(N135-M135)/N135,0)</f>
        <v/>
      </c>
      <c r="R135" s="23">
        <f>IF(AND(L135=1,J135="PY"),G135*(N135-M135)/N135,0)</f>
        <v/>
      </c>
      <c r="S135" s="21">
        <f>IF(COUNTA(A135:G135)=0,"",IF(OR(A135="",B135="",NOT(ISNUMBER(C135))),"Fill market, product and year",IF(COUNTIF(Control!$B$11:$B$13,B135)=0,"Unknown product",IF(COUNTIFS(Dat_A,A135,Dat_B,B135,Dat_C,C135)&gt;1,"Duplicate market/product/year",IF(OR(NOT(ISNUMBER(D135)),NOT(ISNUMBER(E135))),"Add launch date and Data through date",IF(E135&lt;D135,"Data through is before launch",IF(OR(NOT(ISNUMBER(F135)),NOT(ISNUMBER(G135))),"Add units and revenue","OK")))))))</f>
        <v/>
      </c>
    </row>
    <row r="136">
      <c r="A136" s="17" t="n"/>
      <c r="B136" s="17" t="n"/>
      <c r="C136" s="17" t="n"/>
      <c r="D136" s="18" t="n"/>
      <c r="E136" s="18" t="n"/>
      <c r="F136" s="19" t="n"/>
      <c r="G136" s="20" t="n"/>
      <c r="H136" s="21">
        <f>IF(AND(ISNUMBER(D136),ISNUMBER(E136)),E136-D136+1,"")</f>
        <v/>
      </c>
      <c r="I136" s="22">
        <f>IF(AND(ISNUMBER(F136),N(F136)&gt;0,ISNUMBER(G136)),G136/F136,"")</f>
        <v/>
      </c>
      <c r="J136" s="21">
        <f>IF(OR(A136="",B136=""),"",IF(C136=Yr_Cur,"CY",IF(C136=Yr_Prev,"PY","")))</f>
        <v/>
      </c>
      <c r="K136" s="21">
        <f>IF(J136="","",IF(J136="CY",SUMIFS(Dat_H,Dat_A,A136,Dat_B,B136,Dat_C,Yr_Prev),SUMIFS(Dat_H,Dat_A,A136,Dat_B,B136,Dat_C,Yr_Cur)))</f>
        <v/>
      </c>
      <c r="L136" s="21">
        <f>IF(J136="",0,IF(AND(ISNUMBER(H136),N(K136)&gt;0,ISNUMBER(F136),ISNUMBER(G136),OR(Sel_Market="All markets",A136=Sel_Market),COUNTIFS(Control!$B$11:$B$13,B136,Control!$C$11:$C$13,"Yes")&gt;0),1,0))</f>
        <v/>
      </c>
      <c r="M136" s="21">
        <f>IF(L136=1,IF(J136="CY",H136,K136),"")</f>
        <v/>
      </c>
      <c r="N136" s="21">
        <f>IF(L136=1,IF(J136="PY",H136,K136),"")</f>
        <v/>
      </c>
      <c r="O136" s="23">
        <f>IF(L136=1,IF(J136="PY",F136*M136/N136,F136),0)</f>
        <v/>
      </c>
      <c r="P136" s="23">
        <f>IF(L136=1,IF(J136="PY",G136*M136/N136,G136),0)</f>
        <v/>
      </c>
      <c r="Q136" s="23">
        <f>IF(AND(L136=1,J136="PY"),F136*(N136-M136)/N136,0)</f>
        <v/>
      </c>
      <c r="R136" s="23">
        <f>IF(AND(L136=1,J136="PY"),G136*(N136-M136)/N136,0)</f>
        <v/>
      </c>
      <c r="S136" s="21">
        <f>IF(COUNTA(A136:G136)=0,"",IF(OR(A136="",B136="",NOT(ISNUMBER(C136))),"Fill market, product and year",IF(COUNTIF(Control!$B$11:$B$13,B136)=0,"Unknown product",IF(COUNTIFS(Dat_A,A136,Dat_B,B136,Dat_C,C136)&gt;1,"Duplicate market/product/year",IF(OR(NOT(ISNUMBER(D136)),NOT(ISNUMBER(E136))),"Add launch date and Data through date",IF(E136&lt;D136,"Data through is before launch",IF(OR(NOT(ISNUMBER(F136)),NOT(ISNUMBER(G136))),"Add units and revenue","OK")))))))</f>
        <v/>
      </c>
    </row>
    <row r="137">
      <c r="A137" s="17" t="n"/>
      <c r="B137" s="17" t="n"/>
      <c r="C137" s="17" t="n"/>
      <c r="D137" s="18" t="n"/>
      <c r="E137" s="18" t="n"/>
      <c r="F137" s="19" t="n"/>
      <c r="G137" s="20" t="n"/>
      <c r="H137" s="21">
        <f>IF(AND(ISNUMBER(D137),ISNUMBER(E137)),E137-D137+1,"")</f>
        <v/>
      </c>
      <c r="I137" s="22">
        <f>IF(AND(ISNUMBER(F137),N(F137)&gt;0,ISNUMBER(G137)),G137/F137,"")</f>
        <v/>
      </c>
      <c r="J137" s="21">
        <f>IF(OR(A137="",B137=""),"",IF(C137=Yr_Cur,"CY",IF(C137=Yr_Prev,"PY","")))</f>
        <v/>
      </c>
      <c r="K137" s="21">
        <f>IF(J137="","",IF(J137="CY",SUMIFS(Dat_H,Dat_A,A137,Dat_B,B137,Dat_C,Yr_Prev),SUMIFS(Dat_H,Dat_A,A137,Dat_B,B137,Dat_C,Yr_Cur)))</f>
        <v/>
      </c>
      <c r="L137" s="21">
        <f>IF(J137="",0,IF(AND(ISNUMBER(H137),N(K137)&gt;0,ISNUMBER(F137),ISNUMBER(G137),OR(Sel_Market="All markets",A137=Sel_Market),COUNTIFS(Control!$B$11:$B$13,B137,Control!$C$11:$C$13,"Yes")&gt;0),1,0))</f>
        <v/>
      </c>
      <c r="M137" s="21">
        <f>IF(L137=1,IF(J137="CY",H137,K137),"")</f>
        <v/>
      </c>
      <c r="N137" s="21">
        <f>IF(L137=1,IF(J137="PY",H137,K137),"")</f>
        <v/>
      </c>
      <c r="O137" s="23">
        <f>IF(L137=1,IF(J137="PY",F137*M137/N137,F137),0)</f>
        <v/>
      </c>
      <c r="P137" s="23">
        <f>IF(L137=1,IF(J137="PY",G137*M137/N137,G137),0)</f>
        <v/>
      </c>
      <c r="Q137" s="23">
        <f>IF(AND(L137=1,J137="PY"),F137*(N137-M137)/N137,0)</f>
        <v/>
      </c>
      <c r="R137" s="23">
        <f>IF(AND(L137=1,J137="PY"),G137*(N137-M137)/N137,0)</f>
        <v/>
      </c>
      <c r="S137" s="21">
        <f>IF(COUNTA(A137:G137)=0,"",IF(OR(A137="",B137="",NOT(ISNUMBER(C137))),"Fill market, product and year",IF(COUNTIF(Control!$B$11:$B$13,B137)=0,"Unknown product",IF(COUNTIFS(Dat_A,A137,Dat_B,B137,Dat_C,C137)&gt;1,"Duplicate market/product/year",IF(OR(NOT(ISNUMBER(D137)),NOT(ISNUMBER(E137))),"Add launch date and Data through date",IF(E137&lt;D137,"Data through is before launch",IF(OR(NOT(ISNUMBER(F137)),NOT(ISNUMBER(G137))),"Add units and revenue","OK")))))))</f>
        <v/>
      </c>
    </row>
    <row r="138">
      <c r="A138" s="17" t="n"/>
      <c r="B138" s="17" t="n"/>
      <c r="C138" s="17" t="n"/>
      <c r="D138" s="18" t="n"/>
      <c r="E138" s="18" t="n"/>
      <c r="F138" s="19" t="n"/>
      <c r="G138" s="20" t="n"/>
      <c r="H138" s="21">
        <f>IF(AND(ISNUMBER(D138),ISNUMBER(E138)),E138-D138+1,"")</f>
        <v/>
      </c>
      <c r="I138" s="22">
        <f>IF(AND(ISNUMBER(F138),N(F138)&gt;0,ISNUMBER(G138)),G138/F138,"")</f>
        <v/>
      </c>
      <c r="J138" s="21">
        <f>IF(OR(A138="",B138=""),"",IF(C138=Yr_Cur,"CY",IF(C138=Yr_Prev,"PY","")))</f>
        <v/>
      </c>
      <c r="K138" s="21">
        <f>IF(J138="","",IF(J138="CY",SUMIFS(Dat_H,Dat_A,A138,Dat_B,B138,Dat_C,Yr_Prev),SUMIFS(Dat_H,Dat_A,A138,Dat_B,B138,Dat_C,Yr_Cur)))</f>
        <v/>
      </c>
      <c r="L138" s="21">
        <f>IF(J138="",0,IF(AND(ISNUMBER(H138),N(K138)&gt;0,ISNUMBER(F138),ISNUMBER(G138),OR(Sel_Market="All markets",A138=Sel_Market),COUNTIFS(Control!$B$11:$B$13,B138,Control!$C$11:$C$13,"Yes")&gt;0),1,0))</f>
        <v/>
      </c>
      <c r="M138" s="21">
        <f>IF(L138=1,IF(J138="CY",H138,K138),"")</f>
        <v/>
      </c>
      <c r="N138" s="21">
        <f>IF(L138=1,IF(J138="PY",H138,K138),"")</f>
        <v/>
      </c>
      <c r="O138" s="23">
        <f>IF(L138=1,IF(J138="PY",F138*M138/N138,F138),0)</f>
        <v/>
      </c>
      <c r="P138" s="23">
        <f>IF(L138=1,IF(J138="PY",G138*M138/N138,G138),0)</f>
        <v/>
      </c>
      <c r="Q138" s="23">
        <f>IF(AND(L138=1,J138="PY"),F138*(N138-M138)/N138,0)</f>
        <v/>
      </c>
      <c r="R138" s="23">
        <f>IF(AND(L138=1,J138="PY"),G138*(N138-M138)/N138,0)</f>
        <v/>
      </c>
      <c r="S138" s="21">
        <f>IF(COUNTA(A138:G138)=0,"",IF(OR(A138="",B138="",NOT(ISNUMBER(C138))),"Fill market, product and year",IF(COUNTIF(Control!$B$11:$B$13,B138)=0,"Unknown product",IF(COUNTIFS(Dat_A,A138,Dat_B,B138,Dat_C,C138)&gt;1,"Duplicate market/product/year",IF(OR(NOT(ISNUMBER(D138)),NOT(ISNUMBER(E138))),"Add launch date and Data through date",IF(E138&lt;D138,"Data through is before launch",IF(OR(NOT(ISNUMBER(F138)),NOT(ISNUMBER(G138))),"Add units and revenue","OK")))))))</f>
        <v/>
      </c>
    </row>
    <row r="139">
      <c r="A139" s="17" t="n"/>
      <c r="B139" s="17" t="n"/>
      <c r="C139" s="17" t="n"/>
      <c r="D139" s="18" t="n"/>
      <c r="E139" s="18" t="n"/>
      <c r="F139" s="19" t="n"/>
      <c r="G139" s="20" t="n"/>
      <c r="H139" s="21">
        <f>IF(AND(ISNUMBER(D139),ISNUMBER(E139)),E139-D139+1,"")</f>
        <v/>
      </c>
      <c r="I139" s="22">
        <f>IF(AND(ISNUMBER(F139),N(F139)&gt;0,ISNUMBER(G139)),G139/F139,"")</f>
        <v/>
      </c>
      <c r="J139" s="21">
        <f>IF(OR(A139="",B139=""),"",IF(C139=Yr_Cur,"CY",IF(C139=Yr_Prev,"PY","")))</f>
        <v/>
      </c>
      <c r="K139" s="21">
        <f>IF(J139="","",IF(J139="CY",SUMIFS(Dat_H,Dat_A,A139,Dat_B,B139,Dat_C,Yr_Prev),SUMIFS(Dat_H,Dat_A,A139,Dat_B,B139,Dat_C,Yr_Cur)))</f>
        <v/>
      </c>
      <c r="L139" s="21">
        <f>IF(J139="",0,IF(AND(ISNUMBER(H139),N(K139)&gt;0,ISNUMBER(F139),ISNUMBER(G139),OR(Sel_Market="All markets",A139=Sel_Market),COUNTIFS(Control!$B$11:$B$13,B139,Control!$C$11:$C$13,"Yes")&gt;0),1,0))</f>
        <v/>
      </c>
      <c r="M139" s="21">
        <f>IF(L139=1,IF(J139="CY",H139,K139),"")</f>
        <v/>
      </c>
      <c r="N139" s="21">
        <f>IF(L139=1,IF(J139="PY",H139,K139),"")</f>
        <v/>
      </c>
      <c r="O139" s="23">
        <f>IF(L139=1,IF(J139="PY",F139*M139/N139,F139),0)</f>
        <v/>
      </c>
      <c r="P139" s="23">
        <f>IF(L139=1,IF(J139="PY",G139*M139/N139,G139),0)</f>
        <v/>
      </c>
      <c r="Q139" s="23">
        <f>IF(AND(L139=1,J139="PY"),F139*(N139-M139)/N139,0)</f>
        <v/>
      </c>
      <c r="R139" s="23">
        <f>IF(AND(L139=1,J139="PY"),G139*(N139-M139)/N139,0)</f>
        <v/>
      </c>
      <c r="S139" s="21">
        <f>IF(COUNTA(A139:G139)=0,"",IF(OR(A139="",B139="",NOT(ISNUMBER(C139))),"Fill market, product and year",IF(COUNTIF(Control!$B$11:$B$13,B139)=0,"Unknown product",IF(COUNTIFS(Dat_A,A139,Dat_B,B139,Dat_C,C139)&gt;1,"Duplicate market/product/year",IF(OR(NOT(ISNUMBER(D139)),NOT(ISNUMBER(E139))),"Add launch date and Data through date",IF(E139&lt;D139,"Data through is before launch",IF(OR(NOT(ISNUMBER(F139)),NOT(ISNUMBER(G139))),"Add units and revenue","OK")))))))</f>
        <v/>
      </c>
    </row>
    <row r="140">
      <c r="A140" s="17" t="n"/>
      <c r="B140" s="17" t="n"/>
      <c r="C140" s="17" t="n"/>
      <c r="D140" s="18" t="n"/>
      <c r="E140" s="18" t="n"/>
      <c r="F140" s="19" t="n"/>
      <c r="G140" s="20" t="n"/>
      <c r="H140" s="21">
        <f>IF(AND(ISNUMBER(D140),ISNUMBER(E140)),E140-D140+1,"")</f>
        <v/>
      </c>
      <c r="I140" s="22">
        <f>IF(AND(ISNUMBER(F140),N(F140)&gt;0,ISNUMBER(G140)),G140/F140,"")</f>
        <v/>
      </c>
      <c r="J140" s="21">
        <f>IF(OR(A140="",B140=""),"",IF(C140=Yr_Cur,"CY",IF(C140=Yr_Prev,"PY","")))</f>
        <v/>
      </c>
      <c r="K140" s="21">
        <f>IF(J140="","",IF(J140="CY",SUMIFS(Dat_H,Dat_A,A140,Dat_B,B140,Dat_C,Yr_Prev),SUMIFS(Dat_H,Dat_A,A140,Dat_B,B140,Dat_C,Yr_Cur)))</f>
        <v/>
      </c>
      <c r="L140" s="21">
        <f>IF(J140="",0,IF(AND(ISNUMBER(H140),N(K140)&gt;0,ISNUMBER(F140),ISNUMBER(G140),OR(Sel_Market="All markets",A140=Sel_Market),COUNTIFS(Control!$B$11:$B$13,B140,Control!$C$11:$C$13,"Yes")&gt;0),1,0))</f>
        <v/>
      </c>
      <c r="M140" s="21">
        <f>IF(L140=1,IF(J140="CY",H140,K140),"")</f>
        <v/>
      </c>
      <c r="N140" s="21">
        <f>IF(L140=1,IF(J140="PY",H140,K140),"")</f>
        <v/>
      </c>
      <c r="O140" s="23">
        <f>IF(L140=1,IF(J140="PY",F140*M140/N140,F140),0)</f>
        <v/>
      </c>
      <c r="P140" s="23">
        <f>IF(L140=1,IF(J140="PY",G140*M140/N140,G140),0)</f>
        <v/>
      </c>
      <c r="Q140" s="23">
        <f>IF(AND(L140=1,J140="PY"),F140*(N140-M140)/N140,0)</f>
        <v/>
      </c>
      <c r="R140" s="23">
        <f>IF(AND(L140=1,J140="PY"),G140*(N140-M140)/N140,0)</f>
        <v/>
      </c>
      <c r="S140" s="21">
        <f>IF(COUNTA(A140:G140)=0,"",IF(OR(A140="",B140="",NOT(ISNUMBER(C140))),"Fill market, product and year",IF(COUNTIF(Control!$B$11:$B$13,B140)=0,"Unknown product",IF(COUNTIFS(Dat_A,A140,Dat_B,B140,Dat_C,C140)&gt;1,"Duplicate market/product/year",IF(OR(NOT(ISNUMBER(D140)),NOT(ISNUMBER(E140))),"Add launch date and Data through date",IF(E140&lt;D140,"Data through is before launch",IF(OR(NOT(ISNUMBER(F140)),NOT(ISNUMBER(G140))),"Add units and revenue","OK")))))))</f>
        <v/>
      </c>
    </row>
    <row r="141">
      <c r="A141" s="17" t="n"/>
      <c r="B141" s="17" t="n"/>
      <c r="C141" s="17" t="n"/>
      <c r="D141" s="18" t="n"/>
      <c r="E141" s="18" t="n"/>
      <c r="F141" s="19" t="n"/>
      <c r="G141" s="20" t="n"/>
      <c r="H141" s="21">
        <f>IF(AND(ISNUMBER(D141),ISNUMBER(E141)),E141-D141+1,"")</f>
        <v/>
      </c>
      <c r="I141" s="22">
        <f>IF(AND(ISNUMBER(F141),N(F141)&gt;0,ISNUMBER(G141)),G141/F141,"")</f>
        <v/>
      </c>
      <c r="J141" s="21">
        <f>IF(OR(A141="",B141=""),"",IF(C141=Yr_Cur,"CY",IF(C141=Yr_Prev,"PY","")))</f>
        <v/>
      </c>
      <c r="K141" s="21">
        <f>IF(J141="","",IF(J141="CY",SUMIFS(Dat_H,Dat_A,A141,Dat_B,B141,Dat_C,Yr_Prev),SUMIFS(Dat_H,Dat_A,A141,Dat_B,B141,Dat_C,Yr_Cur)))</f>
        <v/>
      </c>
      <c r="L141" s="21">
        <f>IF(J141="",0,IF(AND(ISNUMBER(H141),N(K141)&gt;0,ISNUMBER(F141),ISNUMBER(G141),OR(Sel_Market="All markets",A141=Sel_Market),COUNTIFS(Control!$B$11:$B$13,B141,Control!$C$11:$C$13,"Yes")&gt;0),1,0))</f>
        <v/>
      </c>
      <c r="M141" s="21">
        <f>IF(L141=1,IF(J141="CY",H141,K141),"")</f>
        <v/>
      </c>
      <c r="N141" s="21">
        <f>IF(L141=1,IF(J141="PY",H141,K141),"")</f>
        <v/>
      </c>
      <c r="O141" s="23">
        <f>IF(L141=1,IF(J141="PY",F141*M141/N141,F141),0)</f>
        <v/>
      </c>
      <c r="P141" s="23">
        <f>IF(L141=1,IF(J141="PY",G141*M141/N141,G141),0)</f>
        <v/>
      </c>
      <c r="Q141" s="23">
        <f>IF(AND(L141=1,J141="PY"),F141*(N141-M141)/N141,0)</f>
        <v/>
      </c>
      <c r="R141" s="23">
        <f>IF(AND(L141=1,J141="PY"),G141*(N141-M141)/N141,0)</f>
        <v/>
      </c>
      <c r="S141" s="21">
        <f>IF(COUNTA(A141:G141)=0,"",IF(OR(A141="",B141="",NOT(ISNUMBER(C141))),"Fill market, product and year",IF(COUNTIF(Control!$B$11:$B$13,B141)=0,"Unknown product",IF(COUNTIFS(Dat_A,A141,Dat_B,B141,Dat_C,C141)&gt;1,"Duplicate market/product/year",IF(OR(NOT(ISNUMBER(D141)),NOT(ISNUMBER(E141))),"Add launch date and Data through date",IF(E141&lt;D141,"Data through is before launch",IF(OR(NOT(ISNUMBER(F141)),NOT(ISNUMBER(G141))),"Add units and revenue","OK")))))))</f>
        <v/>
      </c>
    </row>
    <row r="142">
      <c r="A142" s="17" t="n"/>
      <c r="B142" s="17" t="n"/>
      <c r="C142" s="17" t="n"/>
      <c r="D142" s="18" t="n"/>
      <c r="E142" s="18" t="n"/>
      <c r="F142" s="19" t="n"/>
      <c r="G142" s="20" t="n"/>
      <c r="H142" s="21">
        <f>IF(AND(ISNUMBER(D142),ISNUMBER(E142)),E142-D142+1,"")</f>
        <v/>
      </c>
      <c r="I142" s="22">
        <f>IF(AND(ISNUMBER(F142),N(F142)&gt;0,ISNUMBER(G142)),G142/F142,"")</f>
        <v/>
      </c>
      <c r="J142" s="21">
        <f>IF(OR(A142="",B142=""),"",IF(C142=Yr_Cur,"CY",IF(C142=Yr_Prev,"PY","")))</f>
        <v/>
      </c>
      <c r="K142" s="21">
        <f>IF(J142="","",IF(J142="CY",SUMIFS(Dat_H,Dat_A,A142,Dat_B,B142,Dat_C,Yr_Prev),SUMIFS(Dat_H,Dat_A,A142,Dat_B,B142,Dat_C,Yr_Cur)))</f>
        <v/>
      </c>
      <c r="L142" s="21">
        <f>IF(J142="",0,IF(AND(ISNUMBER(H142),N(K142)&gt;0,ISNUMBER(F142),ISNUMBER(G142),OR(Sel_Market="All markets",A142=Sel_Market),COUNTIFS(Control!$B$11:$B$13,B142,Control!$C$11:$C$13,"Yes")&gt;0),1,0))</f>
        <v/>
      </c>
      <c r="M142" s="21">
        <f>IF(L142=1,IF(J142="CY",H142,K142),"")</f>
        <v/>
      </c>
      <c r="N142" s="21">
        <f>IF(L142=1,IF(J142="PY",H142,K142),"")</f>
        <v/>
      </c>
      <c r="O142" s="23">
        <f>IF(L142=1,IF(J142="PY",F142*M142/N142,F142),0)</f>
        <v/>
      </c>
      <c r="P142" s="23">
        <f>IF(L142=1,IF(J142="PY",G142*M142/N142,G142),0)</f>
        <v/>
      </c>
      <c r="Q142" s="23">
        <f>IF(AND(L142=1,J142="PY"),F142*(N142-M142)/N142,0)</f>
        <v/>
      </c>
      <c r="R142" s="23">
        <f>IF(AND(L142=1,J142="PY"),G142*(N142-M142)/N142,0)</f>
        <v/>
      </c>
      <c r="S142" s="21">
        <f>IF(COUNTA(A142:G142)=0,"",IF(OR(A142="",B142="",NOT(ISNUMBER(C142))),"Fill market, product and year",IF(COUNTIF(Control!$B$11:$B$13,B142)=0,"Unknown product",IF(COUNTIFS(Dat_A,A142,Dat_B,B142,Dat_C,C142)&gt;1,"Duplicate market/product/year",IF(OR(NOT(ISNUMBER(D142)),NOT(ISNUMBER(E142))),"Add launch date and Data through date",IF(E142&lt;D142,"Data through is before launch",IF(OR(NOT(ISNUMBER(F142)),NOT(ISNUMBER(G142))),"Add units and revenue","OK")))))))</f>
        <v/>
      </c>
    </row>
    <row r="143">
      <c r="A143" s="17" t="n"/>
      <c r="B143" s="17" t="n"/>
      <c r="C143" s="17" t="n"/>
      <c r="D143" s="18" t="n"/>
      <c r="E143" s="18" t="n"/>
      <c r="F143" s="19" t="n"/>
      <c r="G143" s="20" t="n"/>
      <c r="H143" s="21">
        <f>IF(AND(ISNUMBER(D143),ISNUMBER(E143)),E143-D143+1,"")</f>
        <v/>
      </c>
      <c r="I143" s="22">
        <f>IF(AND(ISNUMBER(F143),N(F143)&gt;0,ISNUMBER(G143)),G143/F143,"")</f>
        <v/>
      </c>
      <c r="J143" s="21">
        <f>IF(OR(A143="",B143=""),"",IF(C143=Yr_Cur,"CY",IF(C143=Yr_Prev,"PY","")))</f>
        <v/>
      </c>
      <c r="K143" s="21">
        <f>IF(J143="","",IF(J143="CY",SUMIFS(Dat_H,Dat_A,A143,Dat_B,B143,Dat_C,Yr_Prev),SUMIFS(Dat_H,Dat_A,A143,Dat_B,B143,Dat_C,Yr_Cur)))</f>
        <v/>
      </c>
      <c r="L143" s="21">
        <f>IF(J143="",0,IF(AND(ISNUMBER(H143),N(K143)&gt;0,ISNUMBER(F143),ISNUMBER(G143),OR(Sel_Market="All markets",A143=Sel_Market),COUNTIFS(Control!$B$11:$B$13,B143,Control!$C$11:$C$13,"Yes")&gt;0),1,0))</f>
        <v/>
      </c>
      <c r="M143" s="21">
        <f>IF(L143=1,IF(J143="CY",H143,K143),"")</f>
        <v/>
      </c>
      <c r="N143" s="21">
        <f>IF(L143=1,IF(J143="PY",H143,K143),"")</f>
        <v/>
      </c>
      <c r="O143" s="23">
        <f>IF(L143=1,IF(J143="PY",F143*M143/N143,F143),0)</f>
        <v/>
      </c>
      <c r="P143" s="23">
        <f>IF(L143=1,IF(J143="PY",G143*M143/N143,G143),0)</f>
        <v/>
      </c>
      <c r="Q143" s="23">
        <f>IF(AND(L143=1,J143="PY"),F143*(N143-M143)/N143,0)</f>
        <v/>
      </c>
      <c r="R143" s="23">
        <f>IF(AND(L143=1,J143="PY"),G143*(N143-M143)/N143,0)</f>
        <v/>
      </c>
      <c r="S143" s="21">
        <f>IF(COUNTA(A143:G143)=0,"",IF(OR(A143="",B143="",NOT(ISNUMBER(C143))),"Fill market, product and year",IF(COUNTIF(Control!$B$11:$B$13,B143)=0,"Unknown product",IF(COUNTIFS(Dat_A,A143,Dat_B,B143,Dat_C,C143)&gt;1,"Duplicate market/product/year",IF(OR(NOT(ISNUMBER(D143)),NOT(ISNUMBER(E143))),"Add launch date and Data through date",IF(E143&lt;D143,"Data through is before launch",IF(OR(NOT(ISNUMBER(F143)),NOT(ISNUMBER(G143))),"Add units and revenue","OK")))))))</f>
        <v/>
      </c>
    </row>
    <row r="144">
      <c r="A144" s="17" t="n"/>
      <c r="B144" s="17" t="n"/>
      <c r="C144" s="17" t="n"/>
      <c r="D144" s="18" t="n"/>
      <c r="E144" s="18" t="n"/>
      <c r="F144" s="19" t="n"/>
      <c r="G144" s="20" t="n"/>
      <c r="H144" s="21">
        <f>IF(AND(ISNUMBER(D144),ISNUMBER(E144)),E144-D144+1,"")</f>
        <v/>
      </c>
      <c r="I144" s="22">
        <f>IF(AND(ISNUMBER(F144),N(F144)&gt;0,ISNUMBER(G144)),G144/F144,"")</f>
        <v/>
      </c>
      <c r="J144" s="21">
        <f>IF(OR(A144="",B144=""),"",IF(C144=Yr_Cur,"CY",IF(C144=Yr_Prev,"PY","")))</f>
        <v/>
      </c>
      <c r="K144" s="21">
        <f>IF(J144="","",IF(J144="CY",SUMIFS(Dat_H,Dat_A,A144,Dat_B,B144,Dat_C,Yr_Prev),SUMIFS(Dat_H,Dat_A,A144,Dat_B,B144,Dat_C,Yr_Cur)))</f>
        <v/>
      </c>
      <c r="L144" s="21">
        <f>IF(J144="",0,IF(AND(ISNUMBER(H144),N(K144)&gt;0,ISNUMBER(F144),ISNUMBER(G144),OR(Sel_Market="All markets",A144=Sel_Market),COUNTIFS(Control!$B$11:$B$13,B144,Control!$C$11:$C$13,"Yes")&gt;0),1,0))</f>
        <v/>
      </c>
      <c r="M144" s="21">
        <f>IF(L144=1,IF(J144="CY",H144,K144),"")</f>
        <v/>
      </c>
      <c r="N144" s="21">
        <f>IF(L144=1,IF(J144="PY",H144,K144),"")</f>
        <v/>
      </c>
      <c r="O144" s="23">
        <f>IF(L144=1,IF(J144="PY",F144*M144/N144,F144),0)</f>
        <v/>
      </c>
      <c r="P144" s="23">
        <f>IF(L144=1,IF(J144="PY",G144*M144/N144,G144),0)</f>
        <v/>
      </c>
      <c r="Q144" s="23">
        <f>IF(AND(L144=1,J144="PY"),F144*(N144-M144)/N144,0)</f>
        <v/>
      </c>
      <c r="R144" s="23">
        <f>IF(AND(L144=1,J144="PY"),G144*(N144-M144)/N144,0)</f>
        <v/>
      </c>
      <c r="S144" s="21">
        <f>IF(COUNTA(A144:G144)=0,"",IF(OR(A144="",B144="",NOT(ISNUMBER(C144))),"Fill market, product and year",IF(COUNTIF(Control!$B$11:$B$13,B144)=0,"Unknown product",IF(COUNTIFS(Dat_A,A144,Dat_B,B144,Dat_C,C144)&gt;1,"Duplicate market/product/year",IF(OR(NOT(ISNUMBER(D144)),NOT(ISNUMBER(E144))),"Add launch date and Data through date",IF(E144&lt;D144,"Data through is before launch",IF(OR(NOT(ISNUMBER(F144)),NOT(ISNUMBER(G144))),"Add units and revenue","OK")))))))</f>
        <v/>
      </c>
    </row>
    <row r="145">
      <c r="A145" s="17" t="n"/>
      <c r="B145" s="17" t="n"/>
      <c r="C145" s="17" t="n"/>
      <c r="D145" s="18" t="n"/>
      <c r="E145" s="18" t="n"/>
      <c r="F145" s="19" t="n"/>
      <c r="G145" s="20" t="n"/>
      <c r="H145" s="21">
        <f>IF(AND(ISNUMBER(D145),ISNUMBER(E145)),E145-D145+1,"")</f>
        <v/>
      </c>
      <c r="I145" s="22">
        <f>IF(AND(ISNUMBER(F145),N(F145)&gt;0,ISNUMBER(G145)),G145/F145,"")</f>
        <v/>
      </c>
      <c r="J145" s="21">
        <f>IF(OR(A145="",B145=""),"",IF(C145=Yr_Cur,"CY",IF(C145=Yr_Prev,"PY","")))</f>
        <v/>
      </c>
      <c r="K145" s="21">
        <f>IF(J145="","",IF(J145="CY",SUMIFS(Dat_H,Dat_A,A145,Dat_B,B145,Dat_C,Yr_Prev),SUMIFS(Dat_H,Dat_A,A145,Dat_B,B145,Dat_C,Yr_Cur)))</f>
        <v/>
      </c>
      <c r="L145" s="21">
        <f>IF(J145="",0,IF(AND(ISNUMBER(H145),N(K145)&gt;0,ISNUMBER(F145),ISNUMBER(G145),OR(Sel_Market="All markets",A145=Sel_Market),COUNTIFS(Control!$B$11:$B$13,B145,Control!$C$11:$C$13,"Yes")&gt;0),1,0))</f>
        <v/>
      </c>
      <c r="M145" s="21">
        <f>IF(L145=1,IF(J145="CY",H145,K145),"")</f>
        <v/>
      </c>
      <c r="N145" s="21">
        <f>IF(L145=1,IF(J145="PY",H145,K145),"")</f>
        <v/>
      </c>
      <c r="O145" s="23">
        <f>IF(L145=1,IF(J145="PY",F145*M145/N145,F145),0)</f>
        <v/>
      </c>
      <c r="P145" s="23">
        <f>IF(L145=1,IF(J145="PY",G145*M145/N145,G145),0)</f>
        <v/>
      </c>
      <c r="Q145" s="23">
        <f>IF(AND(L145=1,J145="PY"),F145*(N145-M145)/N145,0)</f>
        <v/>
      </c>
      <c r="R145" s="23">
        <f>IF(AND(L145=1,J145="PY"),G145*(N145-M145)/N145,0)</f>
        <v/>
      </c>
      <c r="S145" s="21">
        <f>IF(COUNTA(A145:G145)=0,"",IF(OR(A145="",B145="",NOT(ISNUMBER(C145))),"Fill market, product and year",IF(COUNTIF(Control!$B$11:$B$13,B145)=0,"Unknown product",IF(COUNTIFS(Dat_A,A145,Dat_B,B145,Dat_C,C145)&gt;1,"Duplicate market/product/year",IF(OR(NOT(ISNUMBER(D145)),NOT(ISNUMBER(E145))),"Add launch date and Data through date",IF(E145&lt;D145,"Data through is before launch",IF(OR(NOT(ISNUMBER(F145)),NOT(ISNUMBER(G145))),"Add units and revenue","OK")))))))</f>
        <v/>
      </c>
    </row>
    <row r="146">
      <c r="A146" s="17" t="n"/>
      <c r="B146" s="17" t="n"/>
      <c r="C146" s="17" t="n"/>
      <c r="D146" s="18" t="n"/>
      <c r="E146" s="18" t="n"/>
      <c r="F146" s="19" t="n"/>
      <c r="G146" s="20" t="n"/>
      <c r="H146" s="21">
        <f>IF(AND(ISNUMBER(D146),ISNUMBER(E146)),E146-D146+1,"")</f>
        <v/>
      </c>
      <c r="I146" s="22">
        <f>IF(AND(ISNUMBER(F146),N(F146)&gt;0,ISNUMBER(G146)),G146/F146,"")</f>
        <v/>
      </c>
      <c r="J146" s="21">
        <f>IF(OR(A146="",B146=""),"",IF(C146=Yr_Cur,"CY",IF(C146=Yr_Prev,"PY","")))</f>
        <v/>
      </c>
      <c r="K146" s="21">
        <f>IF(J146="","",IF(J146="CY",SUMIFS(Dat_H,Dat_A,A146,Dat_B,B146,Dat_C,Yr_Prev),SUMIFS(Dat_H,Dat_A,A146,Dat_B,B146,Dat_C,Yr_Cur)))</f>
        <v/>
      </c>
      <c r="L146" s="21">
        <f>IF(J146="",0,IF(AND(ISNUMBER(H146),N(K146)&gt;0,ISNUMBER(F146),ISNUMBER(G146),OR(Sel_Market="All markets",A146=Sel_Market),COUNTIFS(Control!$B$11:$B$13,B146,Control!$C$11:$C$13,"Yes")&gt;0),1,0))</f>
        <v/>
      </c>
      <c r="M146" s="21">
        <f>IF(L146=1,IF(J146="CY",H146,K146),"")</f>
        <v/>
      </c>
      <c r="N146" s="21">
        <f>IF(L146=1,IF(J146="PY",H146,K146),"")</f>
        <v/>
      </c>
      <c r="O146" s="23">
        <f>IF(L146=1,IF(J146="PY",F146*M146/N146,F146),0)</f>
        <v/>
      </c>
      <c r="P146" s="23">
        <f>IF(L146=1,IF(J146="PY",G146*M146/N146,G146),0)</f>
        <v/>
      </c>
      <c r="Q146" s="23">
        <f>IF(AND(L146=1,J146="PY"),F146*(N146-M146)/N146,0)</f>
        <v/>
      </c>
      <c r="R146" s="23">
        <f>IF(AND(L146=1,J146="PY"),G146*(N146-M146)/N146,0)</f>
        <v/>
      </c>
      <c r="S146" s="21">
        <f>IF(COUNTA(A146:G146)=0,"",IF(OR(A146="",B146="",NOT(ISNUMBER(C146))),"Fill market, product and year",IF(COUNTIF(Control!$B$11:$B$13,B146)=0,"Unknown product",IF(COUNTIFS(Dat_A,A146,Dat_B,B146,Dat_C,C146)&gt;1,"Duplicate market/product/year",IF(OR(NOT(ISNUMBER(D146)),NOT(ISNUMBER(E146))),"Add launch date and Data through date",IF(E146&lt;D146,"Data through is before launch",IF(OR(NOT(ISNUMBER(F146)),NOT(ISNUMBER(G146))),"Add units and revenue","OK")))))))</f>
        <v/>
      </c>
    </row>
    <row r="147">
      <c r="A147" s="17" t="n"/>
      <c r="B147" s="17" t="n"/>
      <c r="C147" s="17" t="n"/>
      <c r="D147" s="18" t="n"/>
      <c r="E147" s="18" t="n"/>
      <c r="F147" s="19" t="n"/>
      <c r="G147" s="20" t="n"/>
      <c r="H147" s="21">
        <f>IF(AND(ISNUMBER(D147),ISNUMBER(E147)),E147-D147+1,"")</f>
        <v/>
      </c>
      <c r="I147" s="22">
        <f>IF(AND(ISNUMBER(F147),N(F147)&gt;0,ISNUMBER(G147)),G147/F147,"")</f>
        <v/>
      </c>
      <c r="J147" s="21">
        <f>IF(OR(A147="",B147=""),"",IF(C147=Yr_Cur,"CY",IF(C147=Yr_Prev,"PY","")))</f>
        <v/>
      </c>
      <c r="K147" s="21">
        <f>IF(J147="","",IF(J147="CY",SUMIFS(Dat_H,Dat_A,A147,Dat_B,B147,Dat_C,Yr_Prev),SUMIFS(Dat_H,Dat_A,A147,Dat_B,B147,Dat_C,Yr_Cur)))</f>
        <v/>
      </c>
      <c r="L147" s="21">
        <f>IF(J147="",0,IF(AND(ISNUMBER(H147),N(K147)&gt;0,ISNUMBER(F147),ISNUMBER(G147),OR(Sel_Market="All markets",A147=Sel_Market),COUNTIFS(Control!$B$11:$B$13,B147,Control!$C$11:$C$13,"Yes")&gt;0),1,0))</f>
        <v/>
      </c>
      <c r="M147" s="21">
        <f>IF(L147=1,IF(J147="CY",H147,K147),"")</f>
        <v/>
      </c>
      <c r="N147" s="21">
        <f>IF(L147=1,IF(J147="PY",H147,K147),"")</f>
        <v/>
      </c>
      <c r="O147" s="23">
        <f>IF(L147=1,IF(J147="PY",F147*M147/N147,F147),0)</f>
        <v/>
      </c>
      <c r="P147" s="23">
        <f>IF(L147=1,IF(J147="PY",G147*M147/N147,G147),0)</f>
        <v/>
      </c>
      <c r="Q147" s="23">
        <f>IF(AND(L147=1,J147="PY"),F147*(N147-M147)/N147,0)</f>
        <v/>
      </c>
      <c r="R147" s="23">
        <f>IF(AND(L147=1,J147="PY"),G147*(N147-M147)/N147,0)</f>
        <v/>
      </c>
      <c r="S147" s="21">
        <f>IF(COUNTA(A147:G147)=0,"",IF(OR(A147="",B147="",NOT(ISNUMBER(C147))),"Fill market, product and year",IF(COUNTIF(Control!$B$11:$B$13,B147)=0,"Unknown product",IF(COUNTIFS(Dat_A,A147,Dat_B,B147,Dat_C,C147)&gt;1,"Duplicate market/product/year",IF(OR(NOT(ISNUMBER(D147)),NOT(ISNUMBER(E147))),"Add launch date and Data through date",IF(E147&lt;D147,"Data through is before launch",IF(OR(NOT(ISNUMBER(F147)),NOT(ISNUMBER(G147))),"Add units and revenue","OK")))))))</f>
        <v/>
      </c>
    </row>
    <row r="148">
      <c r="A148" s="17" t="n"/>
      <c r="B148" s="17" t="n"/>
      <c r="C148" s="17" t="n"/>
      <c r="D148" s="18" t="n"/>
      <c r="E148" s="18" t="n"/>
      <c r="F148" s="19" t="n"/>
      <c r="G148" s="20" t="n"/>
      <c r="H148" s="21">
        <f>IF(AND(ISNUMBER(D148),ISNUMBER(E148)),E148-D148+1,"")</f>
        <v/>
      </c>
      <c r="I148" s="22">
        <f>IF(AND(ISNUMBER(F148),N(F148)&gt;0,ISNUMBER(G148)),G148/F148,"")</f>
        <v/>
      </c>
      <c r="J148" s="21">
        <f>IF(OR(A148="",B148=""),"",IF(C148=Yr_Cur,"CY",IF(C148=Yr_Prev,"PY","")))</f>
        <v/>
      </c>
      <c r="K148" s="21">
        <f>IF(J148="","",IF(J148="CY",SUMIFS(Dat_H,Dat_A,A148,Dat_B,B148,Dat_C,Yr_Prev),SUMIFS(Dat_H,Dat_A,A148,Dat_B,B148,Dat_C,Yr_Cur)))</f>
        <v/>
      </c>
      <c r="L148" s="21">
        <f>IF(J148="",0,IF(AND(ISNUMBER(H148),N(K148)&gt;0,ISNUMBER(F148),ISNUMBER(G148),OR(Sel_Market="All markets",A148=Sel_Market),COUNTIFS(Control!$B$11:$B$13,B148,Control!$C$11:$C$13,"Yes")&gt;0),1,0))</f>
        <v/>
      </c>
      <c r="M148" s="21">
        <f>IF(L148=1,IF(J148="CY",H148,K148),"")</f>
        <v/>
      </c>
      <c r="N148" s="21">
        <f>IF(L148=1,IF(J148="PY",H148,K148),"")</f>
        <v/>
      </c>
      <c r="O148" s="23">
        <f>IF(L148=1,IF(J148="PY",F148*M148/N148,F148),0)</f>
        <v/>
      </c>
      <c r="P148" s="23">
        <f>IF(L148=1,IF(J148="PY",G148*M148/N148,G148),0)</f>
        <v/>
      </c>
      <c r="Q148" s="23">
        <f>IF(AND(L148=1,J148="PY"),F148*(N148-M148)/N148,0)</f>
        <v/>
      </c>
      <c r="R148" s="23">
        <f>IF(AND(L148=1,J148="PY"),G148*(N148-M148)/N148,0)</f>
        <v/>
      </c>
      <c r="S148" s="21">
        <f>IF(COUNTA(A148:G148)=0,"",IF(OR(A148="",B148="",NOT(ISNUMBER(C148))),"Fill market, product and year",IF(COUNTIF(Control!$B$11:$B$13,B148)=0,"Unknown product",IF(COUNTIFS(Dat_A,A148,Dat_B,B148,Dat_C,C148)&gt;1,"Duplicate market/product/year",IF(OR(NOT(ISNUMBER(D148)),NOT(ISNUMBER(E148))),"Add launch date and Data through date",IF(E148&lt;D148,"Data through is before launch",IF(OR(NOT(ISNUMBER(F148)),NOT(ISNUMBER(G148))),"Add units and revenue","OK")))))))</f>
        <v/>
      </c>
    </row>
    <row r="149">
      <c r="A149" s="17" t="n"/>
      <c r="B149" s="17" t="n"/>
      <c r="C149" s="17" t="n"/>
      <c r="D149" s="18" t="n"/>
      <c r="E149" s="18" t="n"/>
      <c r="F149" s="19" t="n"/>
      <c r="G149" s="20" t="n"/>
      <c r="H149" s="21">
        <f>IF(AND(ISNUMBER(D149),ISNUMBER(E149)),E149-D149+1,"")</f>
        <v/>
      </c>
      <c r="I149" s="22">
        <f>IF(AND(ISNUMBER(F149),N(F149)&gt;0,ISNUMBER(G149)),G149/F149,"")</f>
        <v/>
      </c>
      <c r="J149" s="21">
        <f>IF(OR(A149="",B149=""),"",IF(C149=Yr_Cur,"CY",IF(C149=Yr_Prev,"PY","")))</f>
        <v/>
      </c>
      <c r="K149" s="21">
        <f>IF(J149="","",IF(J149="CY",SUMIFS(Dat_H,Dat_A,A149,Dat_B,B149,Dat_C,Yr_Prev),SUMIFS(Dat_H,Dat_A,A149,Dat_B,B149,Dat_C,Yr_Cur)))</f>
        <v/>
      </c>
      <c r="L149" s="21">
        <f>IF(J149="",0,IF(AND(ISNUMBER(H149),N(K149)&gt;0,ISNUMBER(F149),ISNUMBER(G149),OR(Sel_Market="All markets",A149=Sel_Market),COUNTIFS(Control!$B$11:$B$13,B149,Control!$C$11:$C$13,"Yes")&gt;0),1,0))</f>
        <v/>
      </c>
      <c r="M149" s="21">
        <f>IF(L149=1,IF(J149="CY",H149,K149),"")</f>
        <v/>
      </c>
      <c r="N149" s="21">
        <f>IF(L149=1,IF(J149="PY",H149,K149),"")</f>
        <v/>
      </c>
      <c r="O149" s="23">
        <f>IF(L149=1,IF(J149="PY",F149*M149/N149,F149),0)</f>
        <v/>
      </c>
      <c r="P149" s="23">
        <f>IF(L149=1,IF(J149="PY",G149*M149/N149,G149),0)</f>
        <v/>
      </c>
      <c r="Q149" s="23">
        <f>IF(AND(L149=1,J149="PY"),F149*(N149-M149)/N149,0)</f>
        <v/>
      </c>
      <c r="R149" s="23">
        <f>IF(AND(L149=1,J149="PY"),G149*(N149-M149)/N149,0)</f>
        <v/>
      </c>
      <c r="S149" s="21">
        <f>IF(COUNTA(A149:G149)=0,"",IF(OR(A149="",B149="",NOT(ISNUMBER(C149))),"Fill market, product and year",IF(COUNTIF(Control!$B$11:$B$13,B149)=0,"Unknown product",IF(COUNTIFS(Dat_A,A149,Dat_B,B149,Dat_C,C149)&gt;1,"Duplicate market/product/year",IF(OR(NOT(ISNUMBER(D149)),NOT(ISNUMBER(E149))),"Add launch date and Data through date",IF(E149&lt;D149,"Data through is before launch",IF(OR(NOT(ISNUMBER(F149)),NOT(ISNUMBER(G149))),"Add units and revenue","OK")))))))</f>
        <v/>
      </c>
    </row>
    <row r="150">
      <c r="A150" s="17" t="n"/>
      <c r="B150" s="17" t="n"/>
      <c r="C150" s="17" t="n"/>
      <c r="D150" s="18" t="n"/>
      <c r="E150" s="18" t="n"/>
      <c r="F150" s="19" t="n"/>
      <c r="G150" s="20" t="n"/>
      <c r="H150" s="21">
        <f>IF(AND(ISNUMBER(D150),ISNUMBER(E150)),E150-D150+1,"")</f>
        <v/>
      </c>
      <c r="I150" s="22">
        <f>IF(AND(ISNUMBER(F150),N(F150)&gt;0,ISNUMBER(G150)),G150/F150,"")</f>
        <v/>
      </c>
      <c r="J150" s="21">
        <f>IF(OR(A150="",B150=""),"",IF(C150=Yr_Cur,"CY",IF(C150=Yr_Prev,"PY","")))</f>
        <v/>
      </c>
      <c r="K150" s="21">
        <f>IF(J150="","",IF(J150="CY",SUMIFS(Dat_H,Dat_A,A150,Dat_B,B150,Dat_C,Yr_Prev),SUMIFS(Dat_H,Dat_A,A150,Dat_B,B150,Dat_C,Yr_Cur)))</f>
        <v/>
      </c>
      <c r="L150" s="21">
        <f>IF(J150="",0,IF(AND(ISNUMBER(H150),N(K150)&gt;0,ISNUMBER(F150),ISNUMBER(G150),OR(Sel_Market="All markets",A150=Sel_Market),COUNTIFS(Control!$B$11:$B$13,B150,Control!$C$11:$C$13,"Yes")&gt;0),1,0))</f>
        <v/>
      </c>
      <c r="M150" s="21">
        <f>IF(L150=1,IF(J150="CY",H150,K150),"")</f>
        <v/>
      </c>
      <c r="N150" s="21">
        <f>IF(L150=1,IF(J150="PY",H150,K150),"")</f>
        <v/>
      </c>
      <c r="O150" s="23">
        <f>IF(L150=1,IF(J150="PY",F150*M150/N150,F150),0)</f>
        <v/>
      </c>
      <c r="P150" s="23">
        <f>IF(L150=1,IF(J150="PY",G150*M150/N150,G150),0)</f>
        <v/>
      </c>
      <c r="Q150" s="23">
        <f>IF(AND(L150=1,J150="PY"),F150*(N150-M150)/N150,0)</f>
        <v/>
      </c>
      <c r="R150" s="23">
        <f>IF(AND(L150=1,J150="PY"),G150*(N150-M150)/N150,0)</f>
        <v/>
      </c>
      <c r="S150" s="21">
        <f>IF(COUNTA(A150:G150)=0,"",IF(OR(A150="",B150="",NOT(ISNUMBER(C150))),"Fill market, product and year",IF(COUNTIF(Control!$B$11:$B$13,B150)=0,"Unknown product",IF(COUNTIFS(Dat_A,A150,Dat_B,B150,Dat_C,C150)&gt;1,"Duplicate market/product/year",IF(OR(NOT(ISNUMBER(D150)),NOT(ISNUMBER(E150))),"Add launch date and Data through date",IF(E150&lt;D150,"Data through is before launch",IF(OR(NOT(ISNUMBER(F150)),NOT(ISNUMBER(G150))),"Add units and revenue","OK")))))))</f>
        <v/>
      </c>
    </row>
    <row r="151">
      <c r="A151" s="17" t="n"/>
      <c r="B151" s="17" t="n"/>
      <c r="C151" s="17" t="n"/>
      <c r="D151" s="18" t="n"/>
      <c r="E151" s="18" t="n"/>
      <c r="F151" s="19" t="n"/>
      <c r="G151" s="20" t="n"/>
      <c r="H151" s="21">
        <f>IF(AND(ISNUMBER(D151),ISNUMBER(E151)),E151-D151+1,"")</f>
        <v/>
      </c>
      <c r="I151" s="22">
        <f>IF(AND(ISNUMBER(F151),N(F151)&gt;0,ISNUMBER(G151)),G151/F151,"")</f>
        <v/>
      </c>
      <c r="J151" s="21">
        <f>IF(OR(A151="",B151=""),"",IF(C151=Yr_Cur,"CY",IF(C151=Yr_Prev,"PY","")))</f>
        <v/>
      </c>
      <c r="K151" s="21">
        <f>IF(J151="","",IF(J151="CY",SUMIFS(Dat_H,Dat_A,A151,Dat_B,B151,Dat_C,Yr_Prev),SUMIFS(Dat_H,Dat_A,A151,Dat_B,B151,Dat_C,Yr_Cur)))</f>
        <v/>
      </c>
      <c r="L151" s="21">
        <f>IF(J151="",0,IF(AND(ISNUMBER(H151),N(K151)&gt;0,ISNUMBER(F151),ISNUMBER(G151),OR(Sel_Market="All markets",A151=Sel_Market),COUNTIFS(Control!$B$11:$B$13,B151,Control!$C$11:$C$13,"Yes")&gt;0),1,0))</f>
        <v/>
      </c>
      <c r="M151" s="21">
        <f>IF(L151=1,IF(J151="CY",H151,K151),"")</f>
        <v/>
      </c>
      <c r="N151" s="21">
        <f>IF(L151=1,IF(J151="PY",H151,K151),"")</f>
        <v/>
      </c>
      <c r="O151" s="23">
        <f>IF(L151=1,IF(J151="PY",F151*M151/N151,F151),0)</f>
        <v/>
      </c>
      <c r="P151" s="23">
        <f>IF(L151=1,IF(J151="PY",G151*M151/N151,G151),0)</f>
        <v/>
      </c>
      <c r="Q151" s="23">
        <f>IF(AND(L151=1,J151="PY"),F151*(N151-M151)/N151,0)</f>
        <v/>
      </c>
      <c r="R151" s="23">
        <f>IF(AND(L151=1,J151="PY"),G151*(N151-M151)/N151,0)</f>
        <v/>
      </c>
      <c r="S151" s="21">
        <f>IF(COUNTA(A151:G151)=0,"",IF(OR(A151="",B151="",NOT(ISNUMBER(C151))),"Fill market, product and year",IF(COUNTIF(Control!$B$11:$B$13,B151)=0,"Unknown product",IF(COUNTIFS(Dat_A,A151,Dat_B,B151,Dat_C,C151)&gt;1,"Duplicate market/product/year",IF(OR(NOT(ISNUMBER(D151)),NOT(ISNUMBER(E151))),"Add launch date and Data through date",IF(E151&lt;D151,"Data through is before launch",IF(OR(NOT(ISNUMBER(F151)),NOT(ISNUMBER(G151))),"Add units and revenue","OK")))))))</f>
        <v/>
      </c>
    </row>
    <row r="152">
      <c r="A152" s="17" t="n"/>
      <c r="B152" s="17" t="n"/>
      <c r="C152" s="17" t="n"/>
      <c r="D152" s="18" t="n"/>
      <c r="E152" s="18" t="n"/>
      <c r="F152" s="19" t="n"/>
      <c r="G152" s="20" t="n"/>
      <c r="H152" s="21">
        <f>IF(AND(ISNUMBER(D152),ISNUMBER(E152)),E152-D152+1,"")</f>
        <v/>
      </c>
      <c r="I152" s="22">
        <f>IF(AND(ISNUMBER(F152),N(F152)&gt;0,ISNUMBER(G152)),G152/F152,"")</f>
        <v/>
      </c>
      <c r="J152" s="21">
        <f>IF(OR(A152="",B152=""),"",IF(C152=Yr_Cur,"CY",IF(C152=Yr_Prev,"PY","")))</f>
        <v/>
      </c>
      <c r="K152" s="21">
        <f>IF(J152="","",IF(J152="CY",SUMIFS(Dat_H,Dat_A,A152,Dat_B,B152,Dat_C,Yr_Prev),SUMIFS(Dat_H,Dat_A,A152,Dat_B,B152,Dat_C,Yr_Cur)))</f>
        <v/>
      </c>
      <c r="L152" s="21">
        <f>IF(J152="",0,IF(AND(ISNUMBER(H152),N(K152)&gt;0,ISNUMBER(F152),ISNUMBER(G152),OR(Sel_Market="All markets",A152=Sel_Market),COUNTIFS(Control!$B$11:$B$13,B152,Control!$C$11:$C$13,"Yes")&gt;0),1,0))</f>
        <v/>
      </c>
      <c r="M152" s="21">
        <f>IF(L152=1,IF(J152="CY",H152,K152),"")</f>
        <v/>
      </c>
      <c r="N152" s="21">
        <f>IF(L152=1,IF(J152="PY",H152,K152),"")</f>
        <v/>
      </c>
      <c r="O152" s="23">
        <f>IF(L152=1,IF(J152="PY",F152*M152/N152,F152),0)</f>
        <v/>
      </c>
      <c r="P152" s="23">
        <f>IF(L152=1,IF(J152="PY",G152*M152/N152,G152),0)</f>
        <v/>
      </c>
      <c r="Q152" s="23">
        <f>IF(AND(L152=1,J152="PY"),F152*(N152-M152)/N152,0)</f>
        <v/>
      </c>
      <c r="R152" s="23">
        <f>IF(AND(L152=1,J152="PY"),G152*(N152-M152)/N152,0)</f>
        <v/>
      </c>
      <c r="S152" s="21">
        <f>IF(COUNTA(A152:G152)=0,"",IF(OR(A152="",B152="",NOT(ISNUMBER(C152))),"Fill market, product and year",IF(COUNTIF(Control!$B$11:$B$13,B152)=0,"Unknown product",IF(COUNTIFS(Dat_A,A152,Dat_B,B152,Dat_C,C152)&gt;1,"Duplicate market/product/year",IF(OR(NOT(ISNUMBER(D152)),NOT(ISNUMBER(E152))),"Add launch date and Data through date",IF(E152&lt;D152,"Data through is before launch",IF(OR(NOT(ISNUMBER(F152)),NOT(ISNUMBER(G152))),"Add units and revenue","OK")))))))</f>
        <v/>
      </c>
    </row>
    <row r="153">
      <c r="A153" s="17" t="n"/>
      <c r="B153" s="17" t="n"/>
      <c r="C153" s="17" t="n"/>
      <c r="D153" s="18" t="n"/>
      <c r="E153" s="18" t="n"/>
      <c r="F153" s="19" t="n"/>
      <c r="G153" s="20" t="n"/>
      <c r="H153" s="21">
        <f>IF(AND(ISNUMBER(D153),ISNUMBER(E153)),E153-D153+1,"")</f>
        <v/>
      </c>
      <c r="I153" s="22">
        <f>IF(AND(ISNUMBER(F153),N(F153)&gt;0,ISNUMBER(G153)),G153/F153,"")</f>
        <v/>
      </c>
      <c r="J153" s="21">
        <f>IF(OR(A153="",B153=""),"",IF(C153=Yr_Cur,"CY",IF(C153=Yr_Prev,"PY","")))</f>
        <v/>
      </c>
      <c r="K153" s="21">
        <f>IF(J153="","",IF(J153="CY",SUMIFS(Dat_H,Dat_A,A153,Dat_B,B153,Dat_C,Yr_Prev),SUMIFS(Dat_H,Dat_A,A153,Dat_B,B153,Dat_C,Yr_Cur)))</f>
        <v/>
      </c>
      <c r="L153" s="21">
        <f>IF(J153="",0,IF(AND(ISNUMBER(H153),N(K153)&gt;0,ISNUMBER(F153),ISNUMBER(G153),OR(Sel_Market="All markets",A153=Sel_Market),COUNTIFS(Control!$B$11:$B$13,B153,Control!$C$11:$C$13,"Yes")&gt;0),1,0))</f>
        <v/>
      </c>
      <c r="M153" s="21">
        <f>IF(L153=1,IF(J153="CY",H153,K153),"")</f>
        <v/>
      </c>
      <c r="N153" s="21">
        <f>IF(L153=1,IF(J153="PY",H153,K153),"")</f>
        <v/>
      </c>
      <c r="O153" s="23">
        <f>IF(L153=1,IF(J153="PY",F153*M153/N153,F153),0)</f>
        <v/>
      </c>
      <c r="P153" s="23">
        <f>IF(L153=1,IF(J153="PY",G153*M153/N153,G153),0)</f>
        <v/>
      </c>
      <c r="Q153" s="23">
        <f>IF(AND(L153=1,J153="PY"),F153*(N153-M153)/N153,0)</f>
        <v/>
      </c>
      <c r="R153" s="23">
        <f>IF(AND(L153=1,J153="PY"),G153*(N153-M153)/N153,0)</f>
        <v/>
      </c>
      <c r="S153" s="21">
        <f>IF(COUNTA(A153:G153)=0,"",IF(OR(A153="",B153="",NOT(ISNUMBER(C153))),"Fill market, product and year",IF(COUNTIF(Control!$B$11:$B$13,B153)=0,"Unknown product",IF(COUNTIFS(Dat_A,A153,Dat_B,B153,Dat_C,C153)&gt;1,"Duplicate market/product/year",IF(OR(NOT(ISNUMBER(D153)),NOT(ISNUMBER(E153))),"Add launch date and Data through date",IF(E153&lt;D153,"Data through is before launch",IF(OR(NOT(ISNUMBER(F153)),NOT(ISNUMBER(G153))),"Add units and revenue","OK")))))))</f>
        <v/>
      </c>
    </row>
    <row r="154">
      <c r="A154" s="17" t="n"/>
      <c r="B154" s="17" t="n"/>
      <c r="C154" s="17" t="n"/>
      <c r="D154" s="18" t="n"/>
      <c r="E154" s="18" t="n"/>
      <c r="F154" s="19" t="n"/>
      <c r="G154" s="20" t="n"/>
      <c r="H154" s="21">
        <f>IF(AND(ISNUMBER(D154),ISNUMBER(E154)),E154-D154+1,"")</f>
        <v/>
      </c>
      <c r="I154" s="22">
        <f>IF(AND(ISNUMBER(F154),N(F154)&gt;0,ISNUMBER(G154)),G154/F154,"")</f>
        <v/>
      </c>
      <c r="J154" s="21">
        <f>IF(OR(A154="",B154=""),"",IF(C154=Yr_Cur,"CY",IF(C154=Yr_Prev,"PY","")))</f>
        <v/>
      </c>
      <c r="K154" s="21">
        <f>IF(J154="","",IF(J154="CY",SUMIFS(Dat_H,Dat_A,A154,Dat_B,B154,Dat_C,Yr_Prev),SUMIFS(Dat_H,Dat_A,A154,Dat_B,B154,Dat_C,Yr_Cur)))</f>
        <v/>
      </c>
      <c r="L154" s="21">
        <f>IF(J154="",0,IF(AND(ISNUMBER(H154),N(K154)&gt;0,ISNUMBER(F154),ISNUMBER(G154),OR(Sel_Market="All markets",A154=Sel_Market),COUNTIFS(Control!$B$11:$B$13,B154,Control!$C$11:$C$13,"Yes")&gt;0),1,0))</f>
        <v/>
      </c>
      <c r="M154" s="21">
        <f>IF(L154=1,IF(J154="CY",H154,K154),"")</f>
        <v/>
      </c>
      <c r="N154" s="21">
        <f>IF(L154=1,IF(J154="PY",H154,K154),"")</f>
        <v/>
      </c>
      <c r="O154" s="23">
        <f>IF(L154=1,IF(J154="PY",F154*M154/N154,F154),0)</f>
        <v/>
      </c>
      <c r="P154" s="23">
        <f>IF(L154=1,IF(J154="PY",G154*M154/N154,G154),0)</f>
        <v/>
      </c>
      <c r="Q154" s="23">
        <f>IF(AND(L154=1,J154="PY"),F154*(N154-M154)/N154,0)</f>
        <v/>
      </c>
      <c r="R154" s="23">
        <f>IF(AND(L154=1,J154="PY"),G154*(N154-M154)/N154,0)</f>
        <v/>
      </c>
      <c r="S154" s="21">
        <f>IF(COUNTA(A154:G154)=0,"",IF(OR(A154="",B154="",NOT(ISNUMBER(C154))),"Fill market, product and year",IF(COUNTIF(Control!$B$11:$B$13,B154)=0,"Unknown product",IF(COUNTIFS(Dat_A,A154,Dat_B,B154,Dat_C,C154)&gt;1,"Duplicate market/product/year",IF(OR(NOT(ISNUMBER(D154)),NOT(ISNUMBER(E154))),"Add launch date and Data through date",IF(E154&lt;D154,"Data through is before launch",IF(OR(NOT(ISNUMBER(F154)),NOT(ISNUMBER(G154))),"Add units and revenue","OK")))))))</f>
        <v/>
      </c>
    </row>
    <row r="155">
      <c r="A155" s="17" t="n"/>
      <c r="B155" s="17" t="n"/>
      <c r="C155" s="17" t="n"/>
      <c r="D155" s="18" t="n"/>
      <c r="E155" s="18" t="n"/>
      <c r="F155" s="19" t="n"/>
      <c r="G155" s="20" t="n"/>
      <c r="H155" s="21">
        <f>IF(AND(ISNUMBER(D155),ISNUMBER(E155)),E155-D155+1,"")</f>
        <v/>
      </c>
      <c r="I155" s="22">
        <f>IF(AND(ISNUMBER(F155),N(F155)&gt;0,ISNUMBER(G155)),G155/F155,"")</f>
        <v/>
      </c>
      <c r="J155" s="21">
        <f>IF(OR(A155="",B155=""),"",IF(C155=Yr_Cur,"CY",IF(C155=Yr_Prev,"PY","")))</f>
        <v/>
      </c>
      <c r="K155" s="21">
        <f>IF(J155="","",IF(J155="CY",SUMIFS(Dat_H,Dat_A,A155,Dat_B,B155,Dat_C,Yr_Prev),SUMIFS(Dat_H,Dat_A,A155,Dat_B,B155,Dat_C,Yr_Cur)))</f>
        <v/>
      </c>
      <c r="L155" s="21">
        <f>IF(J155="",0,IF(AND(ISNUMBER(H155),N(K155)&gt;0,ISNUMBER(F155),ISNUMBER(G155),OR(Sel_Market="All markets",A155=Sel_Market),COUNTIFS(Control!$B$11:$B$13,B155,Control!$C$11:$C$13,"Yes")&gt;0),1,0))</f>
        <v/>
      </c>
      <c r="M155" s="21">
        <f>IF(L155=1,IF(J155="CY",H155,K155),"")</f>
        <v/>
      </c>
      <c r="N155" s="21">
        <f>IF(L155=1,IF(J155="PY",H155,K155),"")</f>
        <v/>
      </c>
      <c r="O155" s="23">
        <f>IF(L155=1,IF(J155="PY",F155*M155/N155,F155),0)</f>
        <v/>
      </c>
      <c r="P155" s="23">
        <f>IF(L155=1,IF(J155="PY",G155*M155/N155,G155),0)</f>
        <v/>
      </c>
      <c r="Q155" s="23">
        <f>IF(AND(L155=1,J155="PY"),F155*(N155-M155)/N155,0)</f>
        <v/>
      </c>
      <c r="R155" s="23">
        <f>IF(AND(L155=1,J155="PY"),G155*(N155-M155)/N155,0)</f>
        <v/>
      </c>
      <c r="S155" s="21">
        <f>IF(COUNTA(A155:G155)=0,"",IF(OR(A155="",B155="",NOT(ISNUMBER(C155))),"Fill market, product and year",IF(COUNTIF(Control!$B$11:$B$13,B155)=0,"Unknown product",IF(COUNTIFS(Dat_A,A155,Dat_B,B155,Dat_C,C155)&gt;1,"Duplicate market/product/year",IF(OR(NOT(ISNUMBER(D155)),NOT(ISNUMBER(E155))),"Add launch date and Data through date",IF(E155&lt;D155,"Data through is before launch",IF(OR(NOT(ISNUMBER(F155)),NOT(ISNUMBER(G155))),"Add units and revenue","OK")))))))</f>
        <v/>
      </c>
    </row>
    <row r="156">
      <c r="A156" s="17" t="n"/>
      <c r="B156" s="17" t="n"/>
      <c r="C156" s="17" t="n"/>
      <c r="D156" s="18" t="n"/>
      <c r="E156" s="18" t="n"/>
      <c r="F156" s="19" t="n"/>
      <c r="G156" s="20" t="n"/>
      <c r="H156" s="21">
        <f>IF(AND(ISNUMBER(D156),ISNUMBER(E156)),E156-D156+1,"")</f>
        <v/>
      </c>
      <c r="I156" s="22">
        <f>IF(AND(ISNUMBER(F156),N(F156)&gt;0,ISNUMBER(G156)),G156/F156,"")</f>
        <v/>
      </c>
      <c r="J156" s="21">
        <f>IF(OR(A156="",B156=""),"",IF(C156=Yr_Cur,"CY",IF(C156=Yr_Prev,"PY","")))</f>
        <v/>
      </c>
      <c r="K156" s="21">
        <f>IF(J156="","",IF(J156="CY",SUMIFS(Dat_H,Dat_A,A156,Dat_B,B156,Dat_C,Yr_Prev),SUMIFS(Dat_H,Dat_A,A156,Dat_B,B156,Dat_C,Yr_Cur)))</f>
        <v/>
      </c>
      <c r="L156" s="21">
        <f>IF(J156="",0,IF(AND(ISNUMBER(H156),N(K156)&gt;0,ISNUMBER(F156),ISNUMBER(G156),OR(Sel_Market="All markets",A156=Sel_Market),COUNTIFS(Control!$B$11:$B$13,B156,Control!$C$11:$C$13,"Yes")&gt;0),1,0))</f>
        <v/>
      </c>
      <c r="M156" s="21">
        <f>IF(L156=1,IF(J156="CY",H156,K156),"")</f>
        <v/>
      </c>
      <c r="N156" s="21">
        <f>IF(L156=1,IF(J156="PY",H156,K156),"")</f>
        <v/>
      </c>
      <c r="O156" s="23">
        <f>IF(L156=1,IF(J156="PY",F156*M156/N156,F156),0)</f>
        <v/>
      </c>
      <c r="P156" s="23">
        <f>IF(L156=1,IF(J156="PY",G156*M156/N156,G156),0)</f>
        <v/>
      </c>
      <c r="Q156" s="23">
        <f>IF(AND(L156=1,J156="PY"),F156*(N156-M156)/N156,0)</f>
        <v/>
      </c>
      <c r="R156" s="23">
        <f>IF(AND(L156=1,J156="PY"),G156*(N156-M156)/N156,0)</f>
        <v/>
      </c>
      <c r="S156" s="21">
        <f>IF(COUNTA(A156:G156)=0,"",IF(OR(A156="",B156="",NOT(ISNUMBER(C156))),"Fill market, product and year",IF(COUNTIF(Control!$B$11:$B$13,B156)=0,"Unknown product",IF(COUNTIFS(Dat_A,A156,Dat_B,B156,Dat_C,C156)&gt;1,"Duplicate market/product/year",IF(OR(NOT(ISNUMBER(D156)),NOT(ISNUMBER(E156))),"Add launch date and Data through date",IF(E156&lt;D156,"Data through is before launch",IF(OR(NOT(ISNUMBER(F156)),NOT(ISNUMBER(G156))),"Add units and revenue","OK")))))))</f>
        <v/>
      </c>
    </row>
    <row r="157">
      <c r="A157" s="17" t="n"/>
      <c r="B157" s="17" t="n"/>
      <c r="C157" s="17" t="n"/>
      <c r="D157" s="18" t="n"/>
      <c r="E157" s="18" t="n"/>
      <c r="F157" s="19" t="n"/>
      <c r="G157" s="20" t="n"/>
      <c r="H157" s="21">
        <f>IF(AND(ISNUMBER(D157),ISNUMBER(E157)),E157-D157+1,"")</f>
        <v/>
      </c>
      <c r="I157" s="22">
        <f>IF(AND(ISNUMBER(F157),N(F157)&gt;0,ISNUMBER(G157)),G157/F157,"")</f>
        <v/>
      </c>
      <c r="J157" s="21">
        <f>IF(OR(A157="",B157=""),"",IF(C157=Yr_Cur,"CY",IF(C157=Yr_Prev,"PY","")))</f>
        <v/>
      </c>
      <c r="K157" s="21">
        <f>IF(J157="","",IF(J157="CY",SUMIFS(Dat_H,Dat_A,A157,Dat_B,B157,Dat_C,Yr_Prev),SUMIFS(Dat_H,Dat_A,A157,Dat_B,B157,Dat_C,Yr_Cur)))</f>
        <v/>
      </c>
      <c r="L157" s="21">
        <f>IF(J157="",0,IF(AND(ISNUMBER(H157),N(K157)&gt;0,ISNUMBER(F157),ISNUMBER(G157),OR(Sel_Market="All markets",A157=Sel_Market),COUNTIFS(Control!$B$11:$B$13,B157,Control!$C$11:$C$13,"Yes")&gt;0),1,0))</f>
        <v/>
      </c>
      <c r="M157" s="21">
        <f>IF(L157=1,IF(J157="CY",H157,K157),"")</f>
        <v/>
      </c>
      <c r="N157" s="21">
        <f>IF(L157=1,IF(J157="PY",H157,K157),"")</f>
        <v/>
      </c>
      <c r="O157" s="23">
        <f>IF(L157=1,IF(J157="PY",F157*M157/N157,F157),0)</f>
        <v/>
      </c>
      <c r="P157" s="23">
        <f>IF(L157=1,IF(J157="PY",G157*M157/N157,G157),0)</f>
        <v/>
      </c>
      <c r="Q157" s="23">
        <f>IF(AND(L157=1,J157="PY"),F157*(N157-M157)/N157,0)</f>
        <v/>
      </c>
      <c r="R157" s="23">
        <f>IF(AND(L157=1,J157="PY"),G157*(N157-M157)/N157,0)</f>
        <v/>
      </c>
      <c r="S157" s="21">
        <f>IF(COUNTA(A157:G157)=0,"",IF(OR(A157="",B157="",NOT(ISNUMBER(C157))),"Fill market, product and year",IF(COUNTIF(Control!$B$11:$B$13,B157)=0,"Unknown product",IF(COUNTIFS(Dat_A,A157,Dat_B,B157,Dat_C,C157)&gt;1,"Duplicate market/product/year",IF(OR(NOT(ISNUMBER(D157)),NOT(ISNUMBER(E157))),"Add launch date and Data through date",IF(E157&lt;D157,"Data through is before launch",IF(OR(NOT(ISNUMBER(F157)),NOT(ISNUMBER(G157))),"Add units and revenue","OK")))))))</f>
        <v/>
      </c>
    </row>
    <row r="158">
      <c r="A158" s="17" t="n"/>
      <c r="B158" s="17" t="n"/>
      <c r="C158" s="17" t="n"/>
      <c r="D158" s="18" t="n"/>
      <c r="E158" s="18" t="n"/>
      <c r="F158" s="19" t="n"/>
      <c r="G158" s="20" t="n"/>
      <c r="H158" s="21">
        <f>IF(AND(ISNUMBER(D158),ISNUMBER(E158)),E158-D158+1,"")</f>
        <v/>
      </c>
      <c r="I158" s="22">
        <f>IF(AND(ISNUMBER(F158),N(F158)&gt;0,ISNUMBER(G158)),G158/F158,"")</f>
        <v/>
      </c>
      <c r="J158" s="21">
        <f>IF(OR(A158="",B158=""),"",IF(C158=Yr_Cur,"CY",IF(C158=Yr_Prev,"PY","")))</f>
        <v/>
      </c>
      <c r="K158" s="21">
        <f>IF(J158="","",IF(J158="CY",SUMIFS(Dat_H,Dat_A,A158,Dat_B,B158,Dat_C,Yr_Prev),SUMIFS(Dat_H,Dat_A,A158,Dat_B,B158,Dat_C,Yr_Cur)))</f>
        <v/>
      </c>
      <c r="L158" s="21">
        <f>IF(J158="",0,IF(AND(ISNUMBER(H158),N(K158)&gt;0,ISNUMBER(F158),ISNUMBER(G158),OR(Sel_Market="All markets",A158=Sel_Market),COUNTIFS(Control!$B$11:$B$13,B158,Control!$C$11:$C$13,"Yes")&gt;0),1,0))</f>
        <v/>
      </c>
      <c r="M158" s="21">
        <f>IF(L158=1,IF(J158="CY",H158,K158),"")</f>
        <v/>
      </c>
      <c r="N158" s="21">
        <f>IF(L158=1,IF(J158="PY",H158,K158),"")</f>
        <v/>
      </c>
      <c r="O158" s="23">
        <f>IF(L158=1,IF(J158="PY",F158*M158/N158,F158),0)</f>
        <v/>
      </c>
      <c r="P158" s="23">
        <f>IF(L158=1,IF(J158="PY",G158*M158/N158,G158),0)</f>
        <v/>
      </c>
      <c r="Q158" s="23">
        <f>IF(AND(L158=1,J158="PY"),F158*(N158-M158)/N158,0)</f>
        <v/>
      </c>
      <c r="R158" s="23">
        <f>IF(AND(L158=1,J158="PY"),G158*(N158-M158)/N158,0)</f>
        <v/>
      </c>
      <c r="S158" s="21">
        <f>IF(COUNTA(A158:G158)=0,"",IF(OR(A158="",B158="",NOT(ISNUMBER(C158))),"Fill market, product and year",IF(COUNTIF(Control!$B$11:$B$13,B158)=0,"Unknown product",IF(COUNTIFS(Dat_A,A158,Dat_B,B158,Dat_C,C158)&gt;1,"Duplicate market/product/year",IF(OR(NOT(ISNUMBER(D158)),NOT(ISNUMBER(E158))),"Add launch date and Data through date",IF(E158&lt;D158,"Data through is before launch",IF(OR(NOT(ISNUMBER(F158)),NOT(ISNUMBER(G158))),"Add units and revenue","OK")))))))</f>
        <v/>
      </c>
    </row>
    <row r="159">
      <c r="A159" s="17" t="n"/>
      <c r="B159" s="17" t="n"/>
      <c r="C159" s="17" t="n"/>
      <c r="D159" s="18" t="n"/>
      <c r="E159" s="18" t="n"/>
      <c r="F159" s="19" t="n"/>
      <c r="G159" s="20" t="n"/>
      <c r="H159" s="21">
        <f>IF(AND(ISNUMBER(D159),ISNUMBER(E159)),E159-D159+1,"")</f>
        <v/>
      </c>
      <c r="I159" s="22">
        <f>IF(AND(ISNUMBER(F159),N(F159)&gt;0,ISNUMBER(G159)),G159/F159,"")</f>
        <v/>
      </c>
      <c r="J159" s="21">
        <f>IF(OR(A159="",B159=""),"",IF(C159=Yr_Cur,"CY",IF(C159=Yr_Prev,"PY","")))</f>
        <v/>
      </c>
      <c r="K159" s="21">
        <f>IF(J159="","",IF(J159="CY",SUMIFS(Dat_H,Dat_A,A159,Dat_B,B159,Dat_C,Yr_Prev),SUMIFS(Dat_H,Dat_A,A159,Dat_B,B159,Dat_C,Yr_Cur)))</f>
        <v/>
      </c>
      <c r="L159" s="21">
        <f>IF(J159="",0,IF(AND(ISNUMBER(H159),N(K159)&gt;0,ISNUMBER(F159),ISNUMBER(G159),OR(Sel_Market="All markets",A159=Sel_Market),COUNTIFS(Control!$B$11:$B$13,B159,Control!$C$11:$C$13,"Yes")&gt;0),1,0))</f>
        <v/>
      </c>
      <c r="M159" s="21">
        <f>IF(L159=1,IF(J159="CY",H159,K159),"")</f>
        <v/>
      </c>
      <c r="N159" s="21">
        <f>IF(L159=1,IF(J159="PY",H159,K159),"")</f>
        <v/>
      </c>
      <c r="O159" s="23">
        <f>IF(L159=1,IF(J159="PY",F159*M159/N159,F159),0)</f>
        <v/>
      </c>
      <c r="P159" s="23">
        <f>IF(L159=1,IF(J159="PY",G159*M159/N159,G159),0)</f>
        <v/>
      </c>
      <c r="Q159" s="23">
        <f>IF(AND(L159=1,J159="PY"),F159*(N159-M159)/N159,0)</f>
        <v/>
      </c>
      <c r="R159" s="23">
        <f>IF(AND(L159=1,J159="PY"),G159*(N159-M159)/N159,0)</f>
        <v/>
      </c>
      <c r="S159" s="21">
        <f>IF(COUNTA(A159:G159)=0,"",IF(OR(A159="",B159="",NOT(ISNUMBER(C159))),"Fill market, product and year",IF(COUNTIF(Control!$B$11:$B$13,B159)=0,"Unknown product",IF(COUNTIFS(Dat_A,A159,Dat_B,B159,Dat_C,C159)&gt;1,"Duplicate market/product/year",IF(OR(NOT(ISNUMBER(D159)),NOT(ISNUMBER(E159))),"Add launch date and Data through date",IF(E159&lt;D159,"Data through is before launch",IF(OR(NOT(ISNUMBER(F159)),NOT(ISNUMBER(G159))),"Add units and revenue","OK")))))))</f>
        <v/>
      </c>
    </row>
    <row r="160">
      <c r="A160" s="17" t="n"/>
      <c r="B160" s="17" t="n"/>
      <c r="C160" s="17" t="n"/>
      <c r="D160" s="18" t="n"/>
      <c r="E160" s="18" t="n"/>
      <c r="F160" s="19" t="n"/>
      <c r="G160" s="20" t="n"/>
      <c r="H160" s="21">
        <f>IF(AND(ISNUMBER(D160),ISNUMBER(E160)),E160-D160+1,"")</f>
        <v/>
      </c>
      <c r="I160" s="22">
        <f>IF(AND(ISNUMBER(F160),N(F160)&gt;0,ISNUMBER(G160)),G160/F160,"")</f>
        <v/>
      </c>
      <c r="J160" s="21">
        <f>IF(OR(A160="",B160=""),"",IF(C160=Yr_Cur,"CY",IF(C160=Yr_Prev,"PY","")))</f>
        <v/>
      </c>
      <c r="K160" s="21">
        <f>IF(J160="","",IF(J160="CY",SUMIFS(Dat_H,Dat_A,A160,Dat_B,B160,Dat_C,Yr_Prev),SUMIFS(Dat_H,Dat_A,A160,Dat_B,B160,Dat_C,Yr_Cur)))</f>
        <v/>
      </c>
      <c r="L160" s="21">
        <f>IF(J160="",0,IF(AND(ISNUMBER(H160),N(K160)&gt;0,ISNUMBER(F160),ISNUMBER(G160),OR(Sel_Market="All markets",A160=Sel_Market),COUNTIFS(Control!$B$11:$B$13,B160,Control!$C$11:$C$13,"Yes")&gt;0),1,0))</f>
        <v/>
      </c>
      <c r="M160" s="21">
        <f>IF(L160=1,IF(J160="CY",H160,K160),"")</f>
        <v/>
      </c>
      <c r="N160" s="21">
        <f>IF(L160=1,IF(J160="PY",H160,K160),"")</f>
        <v/>
      </c>
      <c r="O160" s="23">
        <f>IF(L160=1,IF(J160="PY",F160*M160/N160,F160),0)</f>
        <v/>
      </c>
      <c r="P160" s="23">
        <f>IF(L160=1,IF(J160="PY",G160*M160/N160,G160),0)</f>
        <v/>
      </c>
      <c r="Q160" s="23">
        <f>IF(AND(L160=1,J160="PY"),F160*(N160-M160)/N160,0)</f>
        <v/>
      </c>
      <c r="R160" s="23">
        <f>IF(AND(L160=1,J160="PY"),G160*(N160-M160)/N160,0)</f>
        <v/>
      </c>
      <c r="S160" s="21">
        <f>IF(COUNTA(A160:G160)=0,"",IF(OR(A160="",B160="",NOT(ISNUMBER(C160))),"Fill market, product and year",IF(COUNTIF(Control!$B$11:$B$13,B160)=0,"Unknown product",IF(COUNTIFS(Dat_A,A160,Dat_B,B160,Dat_C,C160)&gt;1,"Duplicate market/product/year",IF(OR(NOT(ISNUMBER(D160)),NOT(ISNUMBER(E160))),"Add launch date and Data through date",IF(E160&lt;D160,"Data through is before launch",IF(OR(NOT(ISNUMBER(F160)),NOT(ISNUMBER(G160))),"Add units and revenue","OK")))))))</f>
        <v/>
      </c>
    </row>
    <row r="161">
      <c r="A161" s="17" t="n"/>
      <c r="B161" s="17" t="n"/>
      <c r="C161" s="17" t="n"/>
      <c r="D161" s="18" t="n"/>
      <c r="E161" s="18" t="n"/>
      <c r="F161" s="19" t="n"/>
      <c r="G161" s="20" t="n"/>
      <c r="H161" s="21">
        <f>IF(AND(ISNUMBER(D161),ISNUMBER(E161)),E161-D161+1,"")</f>
        <v/>
      </c>
      <c r="I161" s="22">
        <f>IF(AND(ISNUMBER(F161),N(F161)&gt;0,ISNUMBER(G161)),G161/F161,"")</f>
        <v/>
      </c>
      <c r="J161" s="21">
        <f>IF(OR(A161="",B161=""),"",IF(C161=Yr_Cur,"CY",IF(C161=Yr_Prev,"PY","")))</f>
        <v/>
      </c>
      <c r="K161" s="21">
        <f>IF(J161="","",IF(J161="CY",SUMIFS(Dat_H,Dat_A,A161,Dat_B,B161,Dat_C,Yr_Prev),SUMIFS(Dat_H,Dat_A,A161,Dat_B,B161,Dat_C,Yr_Cur)))</f>
        <v/>
      </c>
      <c r="L161" s="21">
        <f>IF(J161="",0,IF(AND(ISNUMBER(H161),N(K161)&gt;0,ISNUMBER(F161),ISNUMBER(G161),OR(Sel_Market="All markets",A161=Sel_Market),COUNTIFS(Control!$B$11:$B$13,B161,Control!$C$11:$C$13,"Yes")&gt;0),1,0))</f>
        <v/>
      </c>
      <c r="M161" s="21">
        <f>IF(L161=1,IF(J161="CY",H161,K161),"")</f>
        <v/>
      </c>
      <c r="N161" s="21">
        <f>IF(L161=1,IF(J161="PY",H161,K161),"")</f>
        <v/>
      </c>
      <c r="O161" s="23">
        <f>IF(L161=1,IF(J161="PY",F161*M161/N161,F161),0)</f>
        <v/>
      </c>
      <c r="P161" s="23">
        <f>IF(L161=1,IF(J161="PY",G161*M161/N161,G161),0)</f>
        <v/>
      </c>
      <c r="Q161" s="23">
        <f>IF(AND(L161=1,J161="PY"),F161*(N161-M161)/N161,0)</f>
        <v/>
      </c>
      <c r="R161" s="23">
        <f>IF(AND(L161=1,J161="PY"),G161*(N161-M161)/N161,0)</f>
        <v/>
      </c>
      <c r="S161" s="21">
        <f>IF(COUNTA(A161:G161)=0,"",IF(OR(A161="",B161="",NOT(ISNUMBER(C161))),"Fill market, product and year",IF(COUNTIF(Control!$B$11:$B$13,B161)=0,"Unknown product",IF(COUNTIFS(Dat_A,A161,Dat_B,B161,Dat_C,C161)&gt;1,"Duplicate market/product/year",IF(OR(NOT(ISNUMBER(D161)),NOT(ISNUMBER(E161))),"Add launch date and Data through date",IF(E161&lt;D161,"Data through is before launch",IF(OR(NOT(ISNUMBER(F161)),NOT(ISNUMBER(G161))),"Add units and revenue","OK")))))))</f>
        <v/>
      </c>
    </row>
    <row r="162">
      <c r="A162" s="17" t="n"/>
      <c r="B162" s="17" t="n"/>
      <c r="C162" s="17" t="n"/>
      <c r="D162" s="18" t="n"/>
      <c r="E162" s="18" t="n"/>
      <c r="F162" s="19" t="n"/>
      <c r="G162" s="20" t="n"/>
      <c r="H162" s="21">
        <f>IF(AND(ISNUMBER(D162),ISNUMBER(E162)),E162-D162+1,"")</f>
        <v/>
      </c>
      <c r="I162" s="22">
        <f>IF(AND(ISNUMBER(F162),N(F162)&gt;0,ISNUMBER(G162)),G162/F162,"")</f>
        <v/>
      </c>
      <c r="J162" s="21">
        <f>IF(OR(A162="",B162=""),"",IF(C162=Yr_Cur,"CY",IF(C162=Yr_Prev,"PY","")))</f>
        <v/>
      </c>
      <c r="K162" s="21">
        <f>IF(J162="","",IF(J162="CY",SUMIFS(Dat_H,Dat_A,A162,Dat_B,B162,Dat_C,Yr_Prev),SUMIFS(Dat_H,Dat_A,A162,Dat_B,B162,Dat_C,Yr_Cur)))</f>
        <v/>
      </c>
      <c r="L162" s="21">
        <f>IF(J162="",0,IF(AND(ISNUMBER(H162),N(K162)&gt;0,ISNUMBER(F162),ISNUMBER(G162),OR(Sel_Market="All markets",A162=Sel_Market),COUNTIFS(Control!$B$11:$B$13,B162,Control!$C$11:$C$13,"Yes")&gt;0),1,0))</f>
        <v/>
      </c>
      <c r="M162" s="21">
        <f>IF(L162=1,IF(J162="CY",H162,K162),"")</f>
        <v/>
      </c>
      <c r="N162" s="21">
        <f>IF(L162=1,IF(J162="PY",H162,K162),"")</f>
        <v/>
      </c>
      <c r="O162" s="23">
        <f>IF(L162=1,IF(J162="PY",F162*M162/N162,F162),0)</f>
        <v/>
      </c>
      <c r="P162" s="23">
        <f>IF(L162=1,IF(J162="PY",G162*M162/N162,G162),0)</f>
        <v/>
      </c>
      <c r="Q162" s="23">
        <f>IF(AND(L162=1,J162="PY"),F162*(N162-M162)/N162,0)</f>
        <v/>
      </c>
      <c r="R162" s="23">
        <f>IF(AND(L162=1,J162="PY"),G162*(N162-M162)/N162,0)</f>
        <v/>
      </c>
      <c r="S162" s="21">
        <f>IF(COUNTA(A162:G162)=0,"",IF(OR(A162="",B162="",NOT(ISNUMBER(C162))),"Fill market, product and year",IF(COUNTIF(Control!$B$11:$B$13,B162)=0,"Unknown product",IF(COUNTIFS(Dat_A,A162,Dat_B,B162,Dat_C,C162)&gt;1,"Duplicate market/product/year",IF(OR(NOT(ISNUMBER(D162)),NOT(ISNUMBER(E162))),"Add launch date and Data through date",IF(E162&lt;D162,"Data through is before launch",IF(OR(NOT(ISNUMBER(F162)),NOT(ISNUMBER(G162))),"Add units and revenue","OK")))))))</f>
        <v/>
      </c>
    </row>
    <row r="163">
      <c r="A163" s="17" t="n"/>
      <c r="B163" s="17" t="n"/>
      <c r="C163" s="17" t="n"/>
      <c r="D163" s="18" t="n"/>
      <c r="E163" s="18" t="n"/>
      <c r="F163" s="19" t="n"/>
      <c r="G163" s="20" t="n"/>
      <c r="H163" s="21">
        <f>IF(AND(ISNUMBER(D163),ISNUMBER(E163)),E163-D163+1,"")</f>
        <v/>
      </c>
      <c r="I163" s="22">
        <f>IF(AND(ISNUMBER(F163),N(F163)&gt;0,ISNUMBER(G163)),G163/F163,"")</f>
        <v/>
      </c>
      <c r="J163" s="21">
        <f>IF(OR(A163="",B163=""),"",IF(C163=Yr_Cur,"CY",IF(C163=Yr_Prev,"PY","")))</f>
        <v/>
      </c>
      <c r="K163" s="21">
        <f>IF(J163="","",IF(J163="CY",SUMIFS(Dat_H,Dat_A,A163,Dat_B,B163,Dat_C,Yr_Prev),SUMIFS(Dat_H,Dat_A,A163,Dat_B,B163,Dat_C,Yr_Cur)))</f>
        <v/>
      </c>
      <c r="L163" s="21">
        <f>IF(J163="",0,IF(AND(ISNUMBER(H163),N(K163)&gt;0,ISNUMBER(F163),ISNUMBER(G163),OR(Sel_Market="All markets",A163=Sel_Market),COUNTIFS(Control!$B$11:$B$13,B163,Control!$C$11:$C$13,"Yes")&gt;0),1,0))</f>
        <v/>
      </c>
      <c r="M163" s="21">
        <f>IF(L163=1,IF(J163="CY",H163,K163),"")</f>
        <v/>
      </c>
      <c r="N163" s="21">
        <f>IF(L163=1,IF(J163="PY",H163,K163),"")</f>
        <v/>
      </c>
      <c r="O163" s="23">
        <f>IF(L163=1,IF(J163="PY",F163*M163/N163,F163),0)</f>
        <v/>
      </c>
      <c r="P163" s="23">
        <f>IF(L163=1,IF(J163="PY",G163*M163/N163,G163),0)</f>
        <v/>
      </c>
      <c r="Q163" s="23">
        <f>IF(AND(L163=1,J163="PY"),F163*(N163-M163)/N163,0)</f>
        <v/>
      </c>
      <c r="R163" s="23">
        <f>IF(AND(L163=1,J163="PY"),G163*(N163-M163)/N163,0)</f>
        <v/>
      </c>
      <c r="S163" s="21">
        <f>IF(COUNTA(A163:G163)=0,"",IF(OR(A163="",B163="",NOT(ISNUMBER(C163))),"Fill market, product and year",IF(COUNTIF(Control!$B$11:$B$13,B163)=0,"Unknown product",IF(COUNTIFS(Dat_A,A163,Dat_B,B163,Dat_C,C163)&gt;1,"Duplicate market/product/year",IF(OR(NOT(ISNUMBER(D163)),NOT(ISNUMBER(E163))),"Add launch date and Data through date",IF(E163&lt;D163,"Data through is before launch",IF(OR(NOT(ISNUMBER(F163)),NOT(ISNUMBER(G163))),"Add units and revenue","OK")))))))</f>
        <v/>
      </c>
    </row>
    <row r="164">
      <c r="A164" s="17" t="n"/>
      <c r="B164" s="17" t="n"/>
      <c r="C164" s="17" t="n"/>
      <c r="D164" s="18" t="n"/>
      <c r="E164" s="18" t="n"/>
      <c r="F164" s="19" t="n"/>
      <c r="G164" s="20" t="n"/>
      <c r="H164" s="21">
        <f>IF(AND(ISNUMBER(D164),ISNUMBER(E164)),E164-D164+1,"")</f>
        <v/>
      </c>
      <c r="I164" s="22">
        <f>IF(AND(ISNUMBER(F164),N(F164)&gt;0,ISNUMBER(G164)),G164/F164,"")</f>
        <v/>
      </c>
      <c r="J164" s="21">
        <f>IF(OR(A164="",B164=""),"",IF(C164=Yr_Cur,"CY",IF(C164=Yr_Prev,"PY","")))</f>
        <v/>
      </c>
      <c r="K164" s="21">
        <f>IF(J164="","",IF(J164="CY",SUMIFS(Dat_H,Dat_A,A164,Dat_B,B164,Dat_C,Yr_Prev),SUMIFS(Dat_H,Dat_A,A164,Dat_B,B164,Dat_C,Yr_Cur)))</f>
        <v/>
      </c>
      <c r="L164" s="21">
        <f>IF(J164="",0,IF(AND(ISNUMBER(H164),N(K164)&gt;0,ISNUMBER(F164),ISNUMBER(G164),OR(Sel_Market="All markets",A164=Sel_Market),COUNTIFS(Control!$B$11:$B$13,B164,Control!$C$11:$C$13,"Yes")&gt;0),1,0))</f>
        <v/>
      </c>
      <c r="M164" s="21">
        <f>IF(L164=1,IF(J164="CY",H164,K164),"")</f>
        <v/>
      </c>
      <c r="N164" s="21">
        <f>IF(L164=1,IF(J164="PY",H164,K164),"")</f>
        <v/>
      </c>
      <c r="O164" s="23">
        <f>IF(L164=1,IF(J164="PY",F164*M164/N164,F164),0)</f>
        <v/>
      </c>
      <c r="P164" s="23">
        <f>IF(L164=1,IF(J164="PY",G164*M164/N164,G164),0)</f>
        <v/>
      </c>
      <c r="Q164" s="23">
        <f>IF(AND(L164=1,J164="PY"),F164*(N164-M164)/N164,0)</f>
        <v/>
      </c>
      <c r="R164" s="23">
        <f>IF(AND(L164=1,J164="PY"),G164*(N164-M164)/N164,0)</f>
        <v/>
      </c>
      <c r="S164" s="21">
        <f>IF(COUNTA(A164:G164)=0,"",IF(OR(A164="",B164="",NOT(ISNUMBER(C164))),"Fill market, product and year",IF(COUNTIF(Control!$B$11:$B$13,B164)=0,"Unknown product",IF(COUNTIFS(Dat_A,A164,Dat_B,B164,Dat_C,C164)&gt;1,"Duplicate market/product/year",IF(OR(NOT(ISNUMBER(D164)),NOT(ISNUMBER(E164))),"Add launch date and Data through date",IF(E164&lt;D164,"Data through is before launch",IF(OR(NOT(ISNUMBER(F164)),NOT(ISNUMBER(G164))),"Add units and revenue","OK")))))))</f>
        <v/>
      </c>
    </row>
    <row r="165">
      <c r="A165" s="17" t="n"/>
      <c r="B165" s="17" t="n"/>
      <c r="C165" s="17" t="n"/>
      <c r="D165" s="18" t="n"/>
      <c r="E165" s="18" t="n"/>
      <c r="F165" s="19" t="n"/>
      <c r="G165" s="20" t="n"/>
      <c r="H165" s="21">
        <f>IF(AND(ISNUMBER(D165),ISNUMBER(E165)),E165-D165+1,"")</f>
        <v/>
      </c>
      <c r="I165" s="22">
        <f>IF(AND(ISNUMBER(F165),N(F165)&gt;0,ISNUMBER(G165)),G165/F165,"")</f>
        <v/>
      </c>
      <c r="J165" s="21">
        <f>IF(OR(A165="",B165=""),"",IF(C165=Yr_Cur,"CY",IF(C165=Yr_Prev,"PY","")))</f>
        <v/>
      </c>
      <c r="K165" s="21">
        <f>IF(J165="","",IF(J165="CY",SUMIFS(Dat_H,Dat_A,A165,Dat_B,B165,Dat_C,Yr_Prev),SUMIFS(Dat_H,Dat_A,A165,Dat_B,B165,Dat_C,Yr_Cur)))</f>
        <v/>
      </c>
      <c r="L165" s="21">
        <f>IF(J165="",0,IF(AND(ISNUMBER(H165),N(K165)&gt;0,ISNUMBER(F165),ISNUMBER(G165),OR(Sel_Market="All markets",A165=Sel_Market),COUNTIFS(Control!$B$11:$B$13,B165,Control!$C$11:$C$13,"Yes")&gt;0),1,0))</f>
        <v/>
      </c>
      <c r="M165" s="21">
        <f>IF(L165=1,IF(J165="CY",H165,K165),"")</f>
        <v/>
      </c>
      <c r="N165" s="21">
        <f>IF(L165=1,IF(J165="PY",H165,K165),"")</f>
        <v/>
      </c>
      <c r="O165" s="23">
        <f>IF(L165=1,IF(J165="PY",F165*M165/N165,F165),0)</f>
        <v/>
      </c>
      <c r="P165" s="23">
        <f>IF(L165=1,IF(J165="PY",G165*M165/N165,G165),0)</f>
        <v/>
      </c>
      <c r="Q165" s="23">
        <f>IF(AND(L165=1,J165="PY"),F165*(N165-M165)/N165,0)</f>
        <v/>
      </c>
      <c r="R165" s="23">
        <f>IF(AND(L165=1,J165="PY"),G165*(N165-M165)/N165,0)</f>
        <v/>
      </c>
      <c r="S165" s="21">
        <f>IF(COUNTA(A165:G165)=0,"",IF(OR(A165="",B165="",NOT(ISNUMBER(C165))),"Fill market, product and year",IF(COUNTIF(Control!$B$11:$B$13,B165)=0,"Unknown product",IF(COUNTIFS(Dat_A,A165,Dat_B,B165,Dat_C,C165)&gt;1,"Duplicate market/product/year",IF(OR(NOT(ISNUMBER(D165)),NOT(ISNUMBER(E165))),"Add launch date and Data through date",IF(E165&lt;D165,"Data through is before launch",IF(OR(NOT(ISNUMBER(F165)),NOT(ISNUMBER(G165))),"Add units and revenue","OK")))))))</f>
        <v/>
      </c>
    </row>
    <row r="166">
      <c r="A166" s="17" t="n"/>
      <c r="B166" s="17" t="n"/>
      <c r="C166" s="17" t="n"/>
      <c r="D166" s="18" t="n"/>
      <c r="E166" s="18" t="n"/>
      <c r="F166" s="19" t="n"/>
      <c r="G166" s="20" t="n"/>
      <c r="H166" s="21">
        <f>IF(AND(ISNUMBER(D166),ISNUMBER(E166)),E166-D166+1,"")</f>
        <v/>
      </c>
      <c r="I166" s="22">
        <f>IF(AND(ISNUMBER(F166),N(F166)&gt;0,ISNUMBER(G166)),G166/F166,"")</f>
        <v/>
      </c>
      <c r="J166" s="21">
        <f>IF(OR(A166="",B166=""),"",IF(C166=Yr_Cur,"CY",IF(C166=Yr_Prev,"PY","")))</f>
        <v/>
      </c>
      <c r="K166" s="21">
        <f>IF(J166="","",IF(J166="CY",SUMIFS(Dat_H,Dat_A,A166,Dat_B,B166,Dat_C,Yr_Prev),SUMIFS(Dat_H,Dat_A,A166,Dat_B,B166,Dat_C,Yr_Cur)))</f>
        <v/>
      </c>
      <c r="L166" s="21">
        <f>IF(J166="",0,IF(AND(ISNUMBER(H166),N(K166)&gt;0,ISNUMBER(F166),ISNUMBER(G166),OR(Sel_Market="All markets",A166=Sel_Market),COUNTIFS(Control!$B$11:$B$13,B166,Control!$C$11:$C$13,"Yes")&gt;0),1,0))</f>
        <v/>
      </c>
      <c r="M166" s="21">
        <f>IF(L166=1,IF(J166="CY",H166,K166),"")</f>
        <v/>
      </c>
      <c r="N166" s="21">
        <f>IF(L166=1,IF(J166="PY",H166,K166),"")</f>
        <v/>
      </c>
      <c r="O166" s="23">
        <f>IF(L166=1,IF(J166="PY",F166*M166/N166,F166),0)</f>
        <v/>
      </c>
      <c r="P166" s="23">
        <f>IF(L166=1,IF(J166="PY",G166*M166/N166,G166),0)</f>
        <v/>
      </c>
      <c r="Q166" s="23">
        <f>IF(AND(L166=1,J166="PY"),F166*(N166-M166)/N166,0)</f>
        <v/>
      </c>
      <c r="R166" s="23">
        <f>IF(AND(L166=1,J166="PY"),G166*(N166-M166)/N166,0)</f>
        <v/>
      </c>
      <c r="S166" s="21">
        <f>IF(COUNTA(A166:G166)=0,"",IF(OR(A166="",B166="",NOT(ISNUMBER(C166))),"Fill market, product and year",IF(COUNTIF(Control!$B$11:$B$13,B166)=0,"Unknown product",IF(COUNTIFS(Dat_A,A166,Dat_B,B166,Dat_C,C166)&gt;1,"Duplicate market/product/year",IF(OR(NOT(ISNUMBER(D166)),NOT(ISNUMBER(E166))),"Add launch date and Data through date",IF(E166&lt;D166,"Data through is before launch",IF(OR(NOT(ISNUMBER(F166)),NOT(ISNUMBER(G166))),"Add units and revenue","OK")))))))</f>
        <v/>
      </c>
    </row>
    <row r="167">
      <c r="A167" s="17" t="n"/>
      <c r="B167" s="17" t="n"/>
      <c r="C167" s="17" t="n"/>
      <c r="D167" s="18" t="n"/>
      <c r="E167" s="18" t="n"/>
      <c r="F167" s="19" t="n"/>
      <c r="G167" s="20" t="n"/>
      <c r="H167" s="21">
        <f>IF(AND(ISNUMBER(D167),ISNUMBER(E167)),E167-D167+1,"")</f>
        <v/>
      </c>
      <c r="I167" s="22">
        <f>IF(AND(ISNUMBER(F167),N(F167)&gt;0,ISNUMBER(G167)),G167/F167,"")</f>
        <v/>
      </c>
      <c r="J167" s="21">
        <f>IF(OR(A167="",B167=""),"",IF(C167=Yr_Cur,"CY",IF(C167=Yr_Prev,"PY","")))</f>
        <v/>
      </c>
      <c r="K167" s="21">
        <f>IF(J167="","",IF(J167="CY",SUMIFS(Dat_H,Dat_A,A167,Dat_B,B167,Dat_C,Yr_Prev),SUMIFS(Dat_H,Dat_A,A167,Dat_B,B167,Dat_C,Yr_Cur)))</f>
        <v/>
      </c>
      <c r="L167" s="21">
        <f>IF(J167="",0,IF(AND(ISNUMBER(H167),N(K167)&gt;0,ISNUMBER(F167),ISNUMBER(G167),OR(Sel_Market="All markets",A167=Sel_Market),COUNTIFS(Control!$B$11:$B$13,B167,Control!$C$11:$C$13,"Yes")&gt;0),1,0))</f>
        <v/>
      </c>
      <c r="M167" s="21">
        <f>IF(L167=1,IF(J167="CY",H167,K167),"")</f>
        <v/>
      </c>
      <c r="N167" s="21">
        <f>IF(L167=1,IF(J167="PY",H167,K167),"")</f>
        <v/>
      </c>
      <c r="O167" s="23">
        <f>IF(L167=1,IF(J167="PY",F167*M167/N167,F167),0)</f>
        <v/>
      </c>
      <c r="P167" s="23">
        <f>IF(L167=1,IF(J167="PY",G167*M167/N167,G167),0)</f>
        <v/>
      </c>
      <c r="Q167" s="23">
        <f>IF(AND(L167=1,J167="PY"),F167*(N167-M167)/N167,0)</f>
        <v/>
      </c>
      <c r="R167" s="23">
        <f>IF(AND(L167=1,J167="PY"),G167*(N167-M167)/N167,0)</f>
        <v/>
      </c>
      <c r="S167" s="21">
        <f>IF(COUNTA(A167:G167)=0,"",IF(OR(A167="",B167="",NOT(ISNUMBER(C167))),"Fill market, product and year",IF(COUNTIF(Control!$B$11:$B$13,B167)=0,"Unknown product",IF(COUNTIFS(Dat_A,A167,Dat_B,B167,Dat_C,C167)&gt;1,"Duplicate market/product/year",IF(OR(NOT(ISNUMBER(D167)),NOT(ISNUMBER(E167))),"Add launch date and Data through date",IF(E167&lt;D167,"Data through is before launch",IF(OR(NOT(ISNUMBER(F167)),NOT(ISNUMBER(G167))),"Add units and revenue","OK")))))))</f>
        <v/>
      </c>
    </row>
    <row r="168">
      <c r="A168" s="17" t="n"/>
      <c r="B168" s="17" t="n"/>
      <c r="C168" s="17" t="n"/>
      <c r="D168" s="18" t="n"/>
      <c r="E168" s="18" t="n"/>
      <c r="F168" s="19" t="n"/>
      <c r="G168" s="20" t="n"/>
      <c r="H168" s="21">
        <f>IF(AND(ISNUMBER(D168),ISNUMBER(E168)),E168-D168+1,"")</f>
        <v/>
      </c>
      <c r="I168" s="22">
        <f>IF(AND(ISNUMBER(F168),N(F168)&gt;0,ISNUMBER(G168)),G168/F168,"")</f>
        <v/>
      </c>
      <c r="J168" s="21">
        <f>IF(OR(A168="",B168=""),"",IF(C168=Yr_Cur,"CY",IF(C168=Yr_Prev,"PY","")))</f>
        <v/>
      </c>
      <c r="K168" s="21">
        <f>IF(J168="","",IF(J168="CY",SUMIFS(Dat_H,Dat_A,A168,Dat_B,B168,Dat_C,Yr_Prev),SUMIFS(Dat_H,Dat_A,A168,Dat_B,B168,Dat_C,Yr_Cur)))</f>
        <v/>
      </c>
      <c r="L168" s="21">
        <f>IF(J168="",0,IF(AND(ISNUMBER(H168),N(K168)&gt;0,ISNUMBER(F168),ISNUMBER(G168),OR(Sel_Market="All markets",A168=Sel_Market),COUNTIFS(Control!$B$11:$B$13,B168,Control!$C$11:$C$13,"Yes")&gt;0),1,0))</f>
        <v/>
      </c>
      <c r="M168" s="21">
        <f>IF(L168=1,IF(J168="CY",H168,K168),"")</f>
        <v/>
      </c>
      <c r="N168" s="21">
        <f>IF(L168=1,IF(J168="PY",H168,K168),"")</f>
        <v/>
      </c>
      <c r="O168" s="23">
        <f>IF(L168=1,IF(J168="PY",F168*M168/N168,F168),0)</f>
        <v/>
      </c>
      <c r="P168" s="23">
        <f>IF(L168=1,IF(J168="PY",G168*M168/N168,G168),0)</f>
        <v/>
      </c>
      <c r="Q168" s="23">
        <f>IF(AND(L168=1,J168="PY"),F168*(N168-M168)/N168,0)</f>
        <v/>
      </c>
      <c r="R168" s="23">
        <f>IF(AND(L168=1,J168="PY"),G168*(N168-M168)/N168,0)</f>
        <v/>
      </c>
      <c r="S168" s="21">
        <f>IF(COUNTA(A168:G168)=0,"",IF(OR(A168="",B168="",NOT(ISNUMBER(C168))),"Fill market, product and year",IF(COUNTIF(Control!$B$11:$B$13,B168)=0,"Unknown product",IF(COUNTIFS(Dat_A,A168,Dat_B,B168,Dat_C,C168)&gt;1,"Duplicate market/product/year",IF(OR(NOT(ISNUMBER(D168)),NOT(ISNUMBER(E168))),"Add launch date and Data through date",IF(E168&lt;D168,"Data through is before launch",IF(OR(NOT(ISNUMBER(F168)),NOT(ISNUMBER(G168))),"Add units and revenue","OK")))))))</f>
        <v/>
      </c>
    </row>
    <row r="169">
      <c r="A169" s="17" t="n"/>
      <c r="B169" s="17" t="n"/>
      <c r="C169" s="17" t="n"/>
      <c r="D169" s="18" t="n"/>
      <c r="E169" s="18" t="n"/>
      <c r="F169" s="19" t="n"/>
      <c r="G169" s="20" t="n"/>
      <c r="H169" s="21">
        <f>IF(AND(ISNUMBER(D169),ISNUMBER(E169)),E169-D169+1,"")</f>
        <v/>
      </c>
      <c r="I169" s="22">
        <f>IF(AND(ISNUMBER(F169),N(F169)&gt;0,ISNUMBER(G169)),G169/F169,"")</f>
        <v/>
      </c>
      <c r="J169" s="21">
        <f>IF(OR(A169="",B169=""),"",IF(C169=Yr_Cur,"CY",IF(C169=Yr_Prev,"PY","")))</f>
        <v/>
      </c>
      <c r="K169" s="21">
        <f>IF(J169="","",IF(J169="CY",SUMIFS(Dat_H,Dat_A,A169,Dat_B,B169,Dat_C,Yr_Prev),SUMIFS(Dat_H,Dat_A,A169,Dat_B,B169,Dat_C,Yr_Cur)))</f>
        <v/>
      </c>
      <c r="L169" s="21">
        <f>IF(J169="",0,IF(AND(ISNUMBER(H169),N(K169)&gt;0,ISNUMBER(F169),ISNUMBER(G169),OR(Sel_Market="All markets",A169=Sel_Market),COUNTIFS(Control!$B$11:$B$13,B169,Control!$C$11:$C$13,"Yes")&gt;0),1,0))</f>
        <v/>
      </c>
      <c r="M169" s="21">
        <f>IF(L169=1,IF(J169="CY",H169,K169),"")</f>
        <v/>
      </c>
      <c r="N169" s="21">
        <f>IF(L169=1,IF(J169="PY",H169,K169),"")</f>
        <v/>
      </c>
      <c r="O169" s="23">
        <f>IF(L169=1,IF(J169="PY",F169*M169/N169,F169),0)</f>
        <v/>
      </c>
      <c r="P169" s="23">
        <f>IF(L169=1,IF(J169="PY",G169*M169/N169,G169),0)</f>
        <v/>
      </c>
      <c r="Q169" s="23">
        <f>IF(AND(L169=1,J169="PY"),F169*(N169-M169)/N169,0)</f>
        <v/>
      </c>
      <c r="R169" s="23">
        <f>IF(AND(L169=1,J169="PY"),G169*(N169-M169)/N169,0)</f>
        <v/>
      </c>
      <c r="S169" s="21">
        <f>IF(COUNTA(A169:G169)=0,"",IF(OR(A169="",B169="",NOT(ISNUMBER(C169))),"Fill market, product and year",IF(COUNTIF(Control!$B$11:$B$13,B169)=0,"Unknown product",IF(COUNTIFS(Dat_A,A169,Dat_B,B169,Dat_C,C169)&gt;1,"Duplicate market/product/year",IF(OR(NOT(ISNUMBER(D169)),NOT(ISNUMBER(E169))),"Add launch date and Data through date",IF(E169&lt;D169,"Data through is before launch",IF(OR(NOT(ISNUMBER(F169)),NOT(ISNUMBER(G169))),"Add units and revenue","OK")))))))</f>
        <v/>
      </c>
    </row>
    <row r="170">
      <c r="A170" s="17" t="n"/>
      <c r="B170" s="17" t="n"/>
      <c r="C170" s="17" t="n"/>
      <c r="D170" s="18" t="n"/>
      <c r="E170" s="18" t="n"/>
      <c r="F170" s="19" t="n"/>
      <c r="G170" s="20" t="n"/>
      <c r="H170" s="21">
        <f>IF(AND(ISNUMBER(D170),ISNUMBER(E170)),E170-D170+1,"")</f>
        <v/>
      </c>
      <c r="I170" s="22">
        <f>IF(AND(ISNUMBER(F170),N(F170)&gt;0,ISNUMBER(G170)),G170/F170,"")</f>
        <v/>
      </c>
      <c r="J170" s="21">
        <f>IF(OR(A170="",B170=""),"",IF(C170=Yr_Cur,"CY",IF(C170=Yr_Prev,"PY","")))</f>
        <v/>
      </c>
      <c r="K170" s="21">
        <f>IF(J170="","",IF(J170="CY",SUMIFS(Dat_H,Dat_A,A170,Dat_B,B170,Dat_C,Yr_Prev),SUMIFS(Dat_H,Dat_A,A170,Dat_B,B170,Dat_C,Yr_Cur)))</f>
        <v/>
      </c>
      <c r="L170" s="21">
        <f>IF(J170="",0,IF(AND(ISNUMBER(H170),N(K170)&gt;0,ISNUMBER(F170),ISNUMBER(G170),OR(Sel_Market="All markets",A170=Sel_Market),COUNTIFS(Control!$B$11:$B$13,B170,Control!$C$11:$C$13,"Yes")&gt;0),1,0))</f>
        <v/>
      </c>
      <c r="M170" s="21">
        <f>IF(L170=1,IF(J170="CY",H170,K170),"")</f>
        <v/>
      </c>
      <c r="N170" s="21">
        <f>IF(L170=1,IF(J170="PY",H170,K170),"")</f>
        <v/>
      </c>
      <c r="O170" s="23">
        <f>IF(L170=1,IF(J170="PY",F170*M170/N170,F170),0)</f>
        <v/>
      </c>
      <c r="P170" s="23">
        <f>IF(L170=1,IF(J170="PY",G170*M170/N170,G170),0)</f>
        <v/>
      </c>
      <c r="Q170" s="23">
        <f>IF(AND(L170=1,J170="PY"),F170*(N170-M170)/N170,0)</f>
        <v/>
      </c>
      <c r="R170" s="23">
        <f>IF(AND(L170=1,J170="PY"),G170*(N170-M170)/N170,0)</f>
        <v/>
      </c>
      <c r="S170" s="21">
        <f>IF(COUNTA(A170:G170)=0,"",IF(OR(A170="",B170="",NOT(ISNUMBER(C170))),"Fill market, product and year",IF(COUNTIF(Control!$B$11:$B$13,B170)=0,"Unknown product",IF(COUNTIFS(Dat_A,A170,Dat_B,B170,Dat_C,C170)&gt;1,"Duplicate market/product/year",IF(OR(NOT(ISNUMBER(D170)),NOT(ISNUMBER(E170))),"Add launch date and Data through date",IF(E170&lt;D170,"Data through is before launch",IF(OR(NOT(ISNUMBER(F170)),NOT(ISNUMBER(G170))),"Add units and revenue","OK")))))))</f>
        <v/>
      </c>
    </row>
    <row r="171">
      <c r="A171" s="17" t="n"/>
      <c r="B171" s="17" t="n"/>
      <c r="C171" s="17" t="n"/>
      <c r="D171" s="18" t="n"/>
      <c r="E171" s="18" t="n"/>
      <c r="F171" s="19" t="n"/>
      <c r="G171" s="20" t="n"/>
      <c r="H171" s="21">
        <f>IF(AND(ISNUMBER(D171),ISNUMBER(E171)),E171-D171+1,"")</f>
        <v/>
      </c>
      <c r="I171" s="22">
        <f>IF(AND(ISNUMBER(F171),N(F171)&gt;0,ISNUMBER(G171)),G171/F171,"")</f>
        <v/>
      </c>
      <c r="J171" s="21">
        <f>IF(OR(A171="",B171=""),"",IF(C171=Yr_Cur,"CY",IF(C171=Yr_Prev,"PY","")))</f>
        <v/>
      </c>
      <c r="K171" s="21">
        <f>IF(J171="","",IF(J171="CY",SUMIFS(Dat_H,Dat_A,A171,Dat_B,B171,Dat_C,Yr_Prev),SUMIFS(Dat_H,Dat_A,A171,Dat_B,B171,Dat_C,Yr_Cur)))</f>
        <v/>
      </c>
      <c r="L171" s="21">
        <f>IF(J171="",0,IF(AND(ISNUMBER(H171),N(K171)&gt;0,ISNUMBER(F171),ISNUMBER(G171),OR(Sel_Market="All markets",A171=Sel_Market),COUNTIFS(Control!$B$11:$B$13,B171,Control!$C$11:$C$13,"Yes")&gt;0),1,0))</f>
        <v/>
      </c>
      <c r="M171" s="21">
        <f>IF(L171=1,IF(J171="CY",H171,K171),"")</f>
        <v/>
      </c>
      <c r="N171" s="21">
        <f>IF(L171=1,IF(J171="PY",H171,K171),"")</f>
        <v/>
      </c>
      <c r="O171" s="23">
        <f>IF(L171=1,IF(J171="PY",F171*M171/N171,F171),0)</f>
        <v/>
      </c>
      <c r="P171" s="23">
        <f>IF(L171=1,IF(J171="PY",G171*M171/N171,G171),0)</f>
        <v/>
      </c>
      <c r="Q171" s="23">
        <f>IF(AND(L171=1,J171="PY"),F171*(N171-M171)/N171,0)</f>
        <v/>
      </c>
      <c r="R171" s="23">
        <f>IF(AND(L171=1,J171="PY"),G171*(N171-M171)/N171,0)</f>
        <v/>
      </c>
      <c r="S171" s="21">
        <f>IF(COUNTA(A171:G171)=0,"",IF(OR(A171="",B171="",NOT(ISNUMBER(C171))),"Fill market, product and year",IF(COUNTIF(Control!$B$11:$B$13,B171)=0,"Unknown product",IF(COUNTIFS(Dat_A,A171,Dat_B,B171,Dat_C,C171)&gt;1,"Duplicate market/product/year",IF(OR(NOT(ISNUMBER(D171)),NOT(ISNUMBER(E171))),"Add launch date and Data through date",IF(E171&lt;D171,"Data through is before launch",IF(OR(NOT(ISNUMBER(F171)),NOT(ISNUMBER(G171))),"Add units and revenue","OK")))))))</f>
        <v/>
      </c>
    </row>
    <row r="172">
      <c r="A172" s="17" t="n"/>
      <c r="B172" s="17" t="n"/>
      <c r="C172" s="17" t="n"/>
      <c r="D172" s="18" t="n"/>
      <c r="E172" s="18" t="n"/>
      <c r="F172" s="19" t="n"/>
      <c r="G172" s="20" t="n"/>
      <c r="H172" s="21">
        <f>IF(AND(ISNUMBER(D172),ISNUMBER(E172)),E172-D172+1,"")</f>
        <v/>
      </c>
      <c r="I172" s="22">
        <f>IF(AND(ISNUMBER(F172),N(F172)&gt;0,ISNUMBER(G172)),G172/F172,"")</f>
        <v/>
      </c>
      <c r="J172" s="21">
        <f>IF(OR(A172="",B172=""),"",IF(C172=Yr_Cur,"CY",IF(C172=Yr_Prev,"PY","")))</f>
        <v/>
      </c>
      <c r="K172" s="21">
        <f>IF(J172="","",IF(J172="CY",SUMIFS(Dat_H,Dat_A,A172,Dat_B,B172,Dat_C,Yr_Prev),SUMIFS(Dat_H,Dat_A,A172,Dat_B,B172,Dat_C,Yr_Cur)))</f>
        <v/>
      </c>
      <c r="L172" s="21">
        <f>IF(J172="",0,IF(AND(ISNUMBER(H172),N(K172)&gt;0,ISNUMBER(F172),ISNUMBER(G172),OR(Sel_Market="All markets",A172=Sel_Market),COUNTIFS(Control!$B$11:$B$13,B172,Control!$C$11:$C$13,"Yes")&gt;0),1,0))</f>
        <v/>
      </c>
      <c r="M172" s="21">
        <f>IF(L172=1,IF(J172="CY",H172,K172),"")</f>
        <v/>
      </c>
      <c r="N172" s="21">
        <f>IF(L172=1,IF(J172="PY",H172,K172),"")</f>
        <v/>
      </c>
      <c r="O172" s="23">
        <f>IF(L172=1,IF(J172="PY",F172*M172/N172,F172),0)</f>
        <v/>
      </c>
      <c r="P172" s="23">
        <f>IF(L172=1,IF(J172="PY",G172*M172/N172,G172),0)</f>
        <v/>
      </c>
      <c r="Q172" s="23">
        <f>IF(AND(L172=1,J172="PY"),F172*(N172-M172)/N172,0)</f>
        <v/>
      </c>
      <c r="R172" s="23">
        <f>IF(AND(L172=1,J172="PY"),G172*(N172-M172)/N172,0)</f>
        <v/>
      </c>
      <c r="S172" s="21">
        <f>IF(COUNTA(A172:G172)=0,"",IF(OR(A172="",B172="",NOT(ISNUMBER(C172))),"Fill market, product and year",IF(COUNTIF(Control!$B$11:$B$13,B172)=0,"Unknown product",IF(COUNTIFS(Dat_A,A172,Dat_B,B172,Dat_C,C172)&gt;1,"Duplicate market/product/year",IF(OR(NOT(ISNUMBER(D172)),NOT(ISNUMBER(E172))),"Add launch date and Data through date",IF(E172&lt;D172,"Data through is before launch",IF(OR(NOT(ISNUMBER(F172)),NOT(ISNUMBER(G172))),"Add units and revenue","OK")))))))</f>
        <v/>
      </c>
    </row>
    <row r="173">
      <c r="A173" s="17" t="n"/>
      <c r="B173" s="17" t="n"/>
      <c r="C173" s="17" t="n"/>
      <c r="D173" s="18" t="n"/>
      <c r="E173" s="18" t="n"/>
      <c r="F173" s="19" t="n"/>
      <c r="G173" s="20" t="n"/>
      <c r="H173" s="21">
        <f>IF(AND(ISNUMBER(D173),ISNUMBER(E173)),E173-D173+1,"")</f>
        <v/>
      </c>
      <c r="I173" s="22">
        <f>IF(AND(ISNUMBER(F173),N(F173)&gt;0,ISNUMBER(G173)),G173/F173,"")</f>
        <v/>
      </c>
      <c r="J173" s="21">
        <f>IF(OR(A173="",B173=""),"",IF(C173=Yr_Cur,"CY",IF(C173=Yr_Prev,"PY","")))</f>
        <v/>
      </c>
      <c r="K173" s="21">
        <f>IF(J173="","",IF(J173="CY",SUMIFS(Dat_H,Dat_A,A173,Dat_B,B173,Dat_C,Yr_Prev),SUMIFS(Dat_H,Dat_A,A173,Dat_B,B173,Dat_C,Yr_Cur)))</f>
        <v/>
      </c>
      <c r="L173" s="21">
        <f>IF(J173="",0,IF(AND(ISNUMBER(H173),N(K173)&gt;0,ISNUMBER(F173),ISNUMBER(G173),OR(Sel_Market="All markets",A173=Sel_Market),COUNTIFS(Control!$B$11:$B$13,B173,Control!$C$11:$C$13,"Yes")&gt;0),1,0))</f>
        <v/>
      </c>
      <c r="M173" s="21">
        <f>IF(L173=1,IF(J173="CY",H173,K173),"")</f>
        <v/>
      </c>
      <c r="N173" s="21">
        <f>IF(L173=1,IF(J173="PY",H173,K173),"")</f>
        <v/>
      </c>
      <c r="O173" s="23">
        <f>IF(L173=1,IF(J173="PY",F173*M173/N173,F173),0)</f>
        <v/>
      </c>
      <c r="P173" s="23">
        <f>IF(L173=1,IF(J173="PY",G173*M173/N173,G173),0)</f>
        <v/>
      </c>
      <c r="Q173" s="23">
        <f>IF(AND(L173=1,J173="PY"),F173*(N173-M173)/N173,0)</f>
        <v/>
      </c>
      <c r="R173" s="23">
        <f>IF(AND(L173=1,J173="PY"),G173*(N173-M173)/N173,0)</f>
        <v/>
      </c>
      <c r="S173" s="21">
        <f>IF(COUNTA(A173:G173)=0,"",IF(OR(A173="",B173="",NOT(ISNUMBER(C173))),"Fill market, product and year",IF(COUNTIF(Control!$B$11:$B$13,B173)=0,"Unknown product",IF(COUNTIFS(Dat_A,A173,Dat_B,B173,Dat_C,C173)&gt;1,"Duplicate market/product/year",IF(OR(NOT(ISNUMBER(D173)),NOT(ISNUMBER(E173))),"Add launch date and Data through date",IF(E173&lt;D173,"Data through is before launch",IF(OR(NOT(ISNUMBER(F173)),NOT(ISNUMBER(G173))),"Add units and revenue","OK")))))))</f>
        <v/>
      </c>
    </row>
    <row r="174">
      <c r="A174" s="17" t="n"/>
      <c r="B174" s="17" t="n"/>
      <c r="C174" s="17" t="n"/>
      <c r="D174" s="18" t="n"/>
      <c r="E174" s="18" t="n"/>
      <c r="F174" s="19" t="n"/>
      <c r="G174" s="20" t="n"/>
      <c r="H174" s="21">
        <f>IF(AND(ISNUMBER(D174),ISNUMBER(E174)),E174-D174+1,"")</f>
        <v/>
      </c>
      <c r="I174" s="22">
        <f>IF(AND(ISNUMBER(F174),N(F174)&gt;0,ISNUMBER(G174)),G174/F174,"")</f>
        <v/>
      </c>
      <c r="J174" s="21">
        <f>IF(OR(A174="",B174=""),"",IF(C174=Yr_Cur,"CY",IF(C174=Yr_Prev,"PY","")))</f>
        <v/>
      </c>
      <c r="K174" s="21">
        <f>IF(J174="","",IF(J174="CY",SUMIFS(Dat_H,Dat_A,A174,Dat_B,B174,Dat_C,Yr_Prev),SUMIFS(Dat_H,Dat_A,A174,Dat_B,B174,Dat_C,Yr_Cur)))</f>
        <v/>
      </c>
      <c r="L174" s="21">
        <f>IF(J174="",0,IF(AND(ISNUMBER(H174),N(K174)&gt;0,ISNUMBER(F174),ISNUMBER(G174),OR(Sel_Market="All markets",A174=Sel_Market),COUNTIFS(Control!$B$11:$B$13,B174,Control!$C$11:$C$13,"Yes")&gt;0),1,0))</f>
        <v/>
      </c>
      <c r="M174" s="21">
        <f>IF(L174=1,IF(J174="CY",H174,K174),"")</f>
        <v/>
      </c>
      <c r="N174" s="21">
        <f>IF(L174=1,IF(J174="PY",H174,K174),"")</f>
        <v/>
      </c>
      <c r="O174" s="23">
        <f>IF(L174=1,IF(J174="PY",F174*M174/N174,F174),0)</f>
        <v/>
      </c>
      <c r="P174" s="23">
        <f>IF(L174=1,IF(J174="PY",G174*M174/N174,G174),0)</f>
        <v/>
      </c>
      <c r="Q174" s="23">
        <f>IF(AND(L174=1,J174="PY"),F174*(N174-M174)/N174,0)</f>
        <v/>
      </c>
      <c r="R174" s="23">
        <f>IF(AND(L174=1,J174="PY"),G174*(N174-M174)/N174,0)</f>
        <v/>
      </c>
      <c r="S174" s="21">
        <f>IF(COUNTA(A174:G174)=0,"",IF(OR(A174="",B174="",NOT(ISNUMBER(C174))),"Fill market, product and year",IF(COUNTIF(Control!$B$11:$B$13,B174)=0,"Unknown product",IF(COUNTIFS(Dat_A,A174,Dat_B,B174,Dat_C,C174)&gt;1,"Duplicate market/product/year",IF(OR(NOT(ISNUMBER(D174)),NOT(ISNUMBER(E174))),"Add launch date and Data through date",IF(E174&lt;D174,"Data through is before launch",IF(OR(NOT(ISNUMBER(F174)),NOT(ISNUMBER(G174))),"Add units and revenue","OK")))))))</f>
        <v/>
      </c>
    </row>
    <row r="175">
      <c r="A175" s="17" t="n"/>
      <c r="B175" s="17" t="n"/>
      <c r="C175" s="17" t="n"/>
      <c r="D175" s="18" t="n"/>
      <c r="E175" s="18" t="n"/>
      <c r="F175" s="19" t="n"/>
      <c r="G175" s="20" t="n"/>
      <c r="H175" s="21">
        <f>IF(AND(ISNUMBER(D175),ISNUMBER(E175)),E175-D175+1,"")</f>
        <v/>
      </c>
      <c r="I175" s="22">
        <f>IF(AND(ISNUMBER(F175),N(F175)&gt;0,ISNUMBER(G175)),G175/F175,"")</f>
        <v/>
      </c>
      <c r="J175" s="21">
        <f>IF(OR(A175="",B175=""),"",IF(C175=Yr_Cur,"CY",IF(C175=Yr_Prev,"PY","")))</f>
        <v/>
      </c>
      <c r="K175" s="21">
        <f>IF(J175="","",IF(J175="CY",SUMIFS(Dat_H,Dat_A,A175,Dat_B,B175,Dat_C,Yr_Prev),SUMIFS(Dat_H,Dat_A,A175,Dat_B,B175,Dat_C,Yr_Cur)))</f>
        <v/>
      </c>
      <c r="L175" s="21">
        <f>IF(J175="",0,IF(AND(ISNUMBER(H175),N(K175)&gt;0,ISNUMBER(F175),ISNUMBER(G175),OR(Sel_Market="All markets",A175=Sel_Market),COUNTIFS(Control!$B$11:$B$13,B175,Control!$C$11:$C$13,"Yes")&gt;0),1,0))</f>
        <v/>
      </c>
      <c r="M175" s="21">
        <f>IF(L175=1,IF(J175="CY",H175,K175),"")</f>
        <v/>
      </c>
      <c r="N175" s="21">
        <f>IF(L175=1,IF(J175="PY",H175,K175),"")</f>
        <v/>
      </c>
      <c r="O175" s="23">
        <f>IF(L175=1,IF(J175="PY",F175*M175/N175,F175),0)</f>
        <v/>
      </c>
      <c r="P175" s="23">
        <f>IF(L175=1,IF(J175="PY",G175*M175/N175,G175),0)</f>
        <v/>
      </c>
      <c r="Q175" s="23">
        <f>IF(AND(L175=1,J175="PY"),F175*(N175-M175)/N175,0)</f>
        <v/>
      </c>
      <c r="R175" s="23">
        <f>IF(AND(L175=1,J175="PY"),G175*(N175-M175)/N175,0)</f>
        <v/>
      </c>
      <c r="S175" s="21">
        <f>IF(COUNTA(A175:G175)=0,"",IF(OR(A175="",B175="",NOT(ISNUMBER(C175))),"Fill market, product and year",IF(COUNTIF(Control!$B$11:$B$13,B175)=0,"Unknown product",IF(COUNTIFS(Dat_A,A175,Dat_B,B175,Dat_C,C175)&gt;1,"Duplicate market/product/year",IF(OR(NOT(ISNUMBER(D175)),NOT(ISNUMBER(E175))),"Add launch date and Data through date",IF(E175&lt;D175,"Data through is before launch",IF(OR(NOT(ISNUMBER(F175)),NOT(ISNUMBER(G175))),"Add units and revenue","OK")))))))</f>
        <v/>
      </c>
    </row>
    <row r="176">
      <c r="A176" s="17" t="n"/>
      <c r="B176" s="17" t="n"/>
      <c r="C176" s="17" t="n"/>
      <c r="D176" s="18" t="n"/>
      <c r="E176" s="18" t="n"/>
      <c r="F176" s="19" t="n"/>
      <c r="G176" s="20" t="n"/>
      <c r="H176" s="21">
        <f>IF(AND(ISNUMBER(D176),ISNUMBER(E176)),E176-D176+1,"")</f>
        <v/>
      </c>
      <c r="I176" s="22">
        <f>IF(AND(ISNUMBER(F176),N(F176)&gt;0,ISNUMBER(G176)),G176/F176,"")</f>
        <v/>
      </c>
      <c r="J176" s="21">
        <f>IF(OR(A176="",B176=""),"",IF(C176=Yr_Cur,"CY",IF(C176=Yr_Prev,"PY","")))</f>
        <v/>
      </c>
      <c r="K176" s="21">
        <f>IF(J176="","",IF(J176="CY",SUMIFS(Dat_H,Dat_A,A176,Dat_B,B176,Dat_C,Yr_Prev),SUMIFS(Dat_H,Dat_A,A176,Dat_B,B176,Dat_C,Yr_Cur)))</f>
        <v/>
      </c>
      <c r="L176" s="21">
        <f>IF(J176="",0,IF(AND(ISNUMBER(H176),N(K176)&gt;0,ISNUMBER(F176),ISNUMBER(G176),OR(Sel_Market="All markets",A176=Sel_Market),COUNTIFS(Control!$B$11:$B$13,B176,Control!$C$11:$C$13,"Yes")&gt;0),1,0))</f>
        <v/>
      </c>
      <c r="M176" s="21">
        <f>IF(L176=1,IF(J176="CY",H176,K176),"")</f>
        <v/>
      </c>
      <c r="N176" s="21">
        <f>IF(L176=1,IF(J176="PY",H176,K176),"")</f>
        <v/>
      </c>
      <c r="O176" s="23">
        <f>IF(L176=1,IF(J176="PY",F176*M176/N176,F176),0)</f>
        <v/>
      </c>
      <c r="P176" s="23">
        <f>IF(L176=1,IF(J176="PY",G176*M176/N176,G176),0)</f>
        <v/>
      </c>
      <c r="Q176" s="23">
        <f>IF(AND(L176=1,J176="PY"),F176*(N176-M176)/N176,0)</f>
        <v/>
      </c>
      <c r="R176" s="23">
        <f>IF(AND(L176=1,J176="PY"),G176*(N176-M176)/N176,0)</f>
        <v/>
      </c>
      <c r="S176" s="21">
        <f>IF(COUNTA(A176:G176)=0,"",IF(OR(A176="",B176="",NOT(ISNUMBER(C176))),"Fill market, product and year",IF(COUNTIF(Control!$B$11:$B$13,B176)=0,"Unknown product",IF(COUNTIFS(Dat_A,A176,Dat_B,B176,Dat_C,C176)&gt;1,"Duplicate market/product/year",IF(OR(NOT(ISNUMBER(D176)),NOT(ISNUMBER(E176))),"Add launch date and Data through date",IF(E176&lt;D176,"Data through is before launch",IF(OR(NOT(ISNUMBER(F176)),NOT(ISNUMBER(G176))),"Add units and revenue","OK")))))))</f>
        <v/>
      </c>
    </row>
    <row r="177">
      <c r="A177" s="17" t="n"/>
      <c r="B177" s="17" t="n"/>
      <c r="C177" s="17" t="n"/>
      <c r="D177" s="18" t="n"/>
      <c r="E177" s="18" t="n"/>
      <c r="F177" s="19" t="n"/>
      <c r="G177" s="20" t="n"/>
      <c r="H177" s="21">
        <f>IF(AND(ISNUMBER(D177),ISNUMBER(E177)),E177-D177+1,"")</f>
        <v/>
      </c>
      <c r="I177" s="22">
        <f>IF(AND(ISNUMBER(F177),N(F177)&gt;0,ISNUMBER(G177)),G177/F177,"")</f>
        <v/>
      </c>
      <c r="J177" s="21">
        <f>IF(OR(A177="",B177=""),"",IF(C177=Yr_Cur,"CY",IF(C177=Yr_Prev,"PY","")))</f>
        <v/>
      </c>
      <c r="K177" s="21">
        <f>IF(J177="","",IF(J177="CY",SUMIFS(Dat_H,Dat_A,A177,Dat_B,B177,Dat_C,Yr_Prev),SUMIFS(Dat_H,Dat_A,A177,Dat_B,B177,Dat_C,Yr_Cur)))</f>
        <v/>
      </c>
      <c r="L177" s="21">
        <f>IF(J177="",0,IF(AND(ISNUMBER(H177),N(K177)&gt;0,ISNUMBER(F177),ISNUMBER(G177),OR(Sel_Market="All markets",A177=Sel_Market),COUNTIFS(Control!$B$11:$B$13,B177,Control!$C$11:$C$13,"Yes")&gt;0),1,0))</f>
        <v/>
      </c>
      <c r="M177" s="21">
        <f>IF(L177=1,IF(J177="CY",H177,K177),"")</f>
        <v/>
      </c>
      <c r="N177" s="21">
        <f>IF(L177=1,IF(J177="PY",H177,K177),"")</f>
        <v/>
      </c>
      <c r="O177" s="23">
        <f>IF(L177=1,IF(J177="PY",F177*M177/N177,F177),0)</f>
        <v/>
      </c>
      <c r="P177" s="23">
        <f>IF(L177=1,IF(J177="PY",G177*M177/N177,G177),0)</f>
        <v/>
      </c>
      <c r="Q177" s="23">
        <f>IF(AND(L177=1,J177="PY"),F177*(N177-M177)/N177,0)</f>
        <v/>
      </c>
      <c r="R177" s="23">
        <f>IF(AND(L177=1,J177="PY"),G177*(N177-M177)/N177,0)</f>
        <v/>
      </c>
      <c r="S177" s="21">
        <f>IF(COUNTA(A177:G177)=0,"",IF(OR(A177="",B177="",NOT(ISNUMBER(C177))),"Fill market, product and year",IF(COUNTIF(Control!$B$11:$B$13,B177)=0,"Unknown product",IF(COUNTIFS(Dat_A,A177,Dat_B,B177,Dat_C,C177)&gt;1,"Duplicate market/product/year",IF(OR(NOT(ISNUMBER(D177)),NOT(ISNUMBER(E177))),"Add launch date and Data through date",IF(E177&lt;D177,"Data through is before launch",IF(OR(NOT(ISNUMBER(F177)),NOT(ISNUMBER(G177))),"Add units and revenue","OK")))))))</f>
        <v/>
      </c>
    </row>
    <row r="178">
      <c r="A178" s="17" t="n"/>
      <c r="B178" s="17" t="n"/>
      <c r="C178" s="17" t="n"/>
      <c r="D178" s="18" t="n"/>
      <c r="E178" s="18" t="n"/>
      <c r="F178" s="19" t="n"/>
      <c r="G178" s="20" t="n"/>
      <c r="H178" s="21">
        <f>IF(AND(ISNUMBER(D178),ISNUMBER(E178)),E178-D178+1,"")</f>
        <v/>
      </c>
      <c r="I178" s="22">
        <f>IF(AND(ISNUMBER(F178),N(F178)&gt;0,ISNUMBER(G178)),G178/F178,"")</f>
        <v/>
      </c>
      <c r="J178" s="21">
        <f>IF(OR(A178="",B178=""),"",IF(C178=Yr_Cur,"CY",IF(C178=Yr_Prev,"PY","")))</f>
        <v/>
      </c>
      <c r="K178" s="21">
        <f>IF(J178="","",IF(J178="CY",SUMIFS(Dat_H,Dat_A,A178,Dat_B,B178,Dat_C,Yr_Prev),SUMIFS(Dat_H,Dat_A,A178,Dat_B,B178,Dat_C,Yr_Cur)))</f>
        <v/>
      </c>
      <c r="L178" s="21">
        <f>IF(J178="",0,IF(AND(ISNUMBER(H178),N(K178)&gt;0,ISNUMBER(F178),ISNUMBER(G178),OR(Sel_Market="All markets",A178=Sel_Market),COUNTIFS(Control!$B$11:$B$13,B178,Control!$C$11:$C$13,"Yes")&gt;0),1,0))</f>
        <v/>
      </c>
      <c r="M178" s="21">
        <f>IF(L178=1,IF(J178="CY",H178,K178),"")</f>
        <v/>
      </c>
      <c r="N178" s="21">
        <f>IF(L178=1,IF(J178="PY",H178,K178),"")</f>
        <v/>
      </c>
      <c r="O178" s="23">
        <f>IF(L178=1,IF(J178="PY",F178*M178/N178,F178),0)</f>
        <v/>
      </c>
      <c r="P178" s="23">
        <f>IF(L178=1,IF(J178="PY",G178*M178/N178,G178),0)</f>
        <v/>
      </c>
      <c r="Q178" s="23">
        <f>IF(AND(L178=1,J178="PY"),F178*(N178-M178)/N178,0)</f>
        <v/>
      </c>
      <c r="R178" s="23">
        <f>IF(AND(L178=1,J178="PY"),G178*(N178-M178)/N178,0)</f>
        <v/>
      </c>
      <c r="S178" s="21">
        <f>IF(COUNTA(A178:G178)=0,"",IF(OR(A178="",B178="",NOT(ISNUMBER(C178))),"Fill market, product and year",IF(COUNTIF(Control!$B$11:$B$13,B178)=0,"Unknown product",IF(COUNTIFS(Dat_A,A178,Dat_B,B178,Dat_C,C178)&gt;1,"Duplicate market/product/year",IF(OR(NOT(ISNUMBER(D178)),NOT(ISNUMBER(E178))),"Add launch date and Data through date",IF(E178&lt;D178,"Data through is before launch",IF(OR(NOT(ISNUMBER(F178)),NOT(ISNUMBER(G178))),"Add units and revenue","OK")))))))</f>
        <v/>
      </c>
    </row>
    <row r="179">
      <c r="A179" s="17" t="n"/>
      <c r="B179" s="17" t="n"/>
      <c r="C179" s="17" t="n"/>
      <c r="D179" s="18" t="n"/>
      <c r="E179" s="18" t="n"/>
      <c r="F179" s="19" t="n"/>
      <c r="G179" s="20" t="n"/>
      <c r="H179" s="21">
        <f>IF(AND(ISNUMBER(D179),ISNUMBER(E179)),E179-D179+1,"")</f>
        <v/>
      </c>
      <c r="I179" s="22">
        <f>IF(AND(ISNUMBER(F179),N(F179)&gt;0,ISNUMBER(G179)),G179/F179,"")</f>
        <v/>
      </c>
      <c r="J179" s="21">
        <f>IF(OR(A179="",B179=""),"",IF(C179=Yr_Cur,"CY",IF(C179=Yr_Prev,"PY","")))</f>
        <v/>
      </c>
      <c r="K179" s="21">
        <f>IF(J179="","",IF(J179="CY",SUMIFS(Dat_H,Dat_A,A179,Dat_B,B179,Dat_C,Yr_Prev),SUMIFS(Dat_H,Dat_A,A179,Dat_B,B179,Dat_C,Yr_Cur)))</f>
        <v/>
      </c>
      <c r="L179" s="21">
        <f>IF(J179="",0,IF(AND(ISNUMBER(H179),N(K179)&gt;0,ISNUMBER(F179),ISNUMBER(G179),OR(Sel_Market="All markets",A179=Sel_Market),COUNTIFS(Control!$B$11:$B$13,B179,Control!$C$11:$C$13,"Yes")&gt;0),1,0))</f>
        <v/>
      </c>
      <c r="M179" s="21">
        <f>IF(L179=1,IF(J179="CY",H179,K179),"")</f>
        <v/>
      </c>
      <c r="N179" s="21">
        <f>IF(L179=1,IF(J179="PY",H179,K179),"")</f>
        <v/>
      </c>
      <c r="O179" s="23">
        <f>IF(L179=1,IF(J179="PY",F179*M179/N179,F179),0)</f>
        <v/>
      </c>
      <c r="P179" s="23">
        <f>IF(L179=1,IF(J179="PY",G179*M179/N179,G179),0)</f>
        <v/>
      </c>
      <c r="Q179" s="23">
        <f>IF(AND(L179=1,J179="PY"),F179*(N179-M179)/N179,0)</f>
        <v/>
      </c>
      <c r="R179" s="23">
        <f>IF(AND(L179=1,J179="PY"),G179*(N179-M179)/N179,0)</f>
        <v/>
      </c>
      <c r="S179" s="21">
        <f>IF(COUNTA(A179:G179)=0,"",IF(OR(A179="",B179="",NOT(ISNUMBER(C179))),"Fill market, product and year",IF(COUNTIF(Control!$B$11:$B$13,B179)=0,"Unknown product",IF(COUNTIFS(Dat_A,A179,Dat_B,B179,Dat_C,C179)&gt;1,"Duplicate market/product/year",IF(OR(NOT(ISNUMBER(D179)),NOT(ISNUMBER(E179))),"Add launch date and Data through date",IF(E179&lt;D179,"Data through is before launch",IF(OR(NOT(ISNUMBER(F179)),NOT(ISNUMBER(G179))),"Add units and revenue","OK")))))))</f>
        <v/>
      </c>
    </row>
    <row r="180">
      <c r="A180" s="17" t="n"/>
      <c r="B180" s="17" t="n"/>
      <c r="C180" s="17" t="n"/>
      <c r="D180" s="18" t="n"/>
      <c r="E180" s="18" t="n"/>
      <c r="F180" s="19" t="n"/>
      <c r="G180" s="20" t="n"/>
      <c r="H180" s="21">
        <f>IF(AND(ISNUMBER(D180),ISNUMBER(E180)),E180-D180+1,"")</f>
        <v/>
      </c>
      <c r="I180" s="22">
        <f>IF(AND(ISNUMBER(F180),N(F180)&gt;0,ISNUMBER(G180)),G180/F180,"")</f>
        <v/>
      </c>
      <c r="J180" s="21">
        <f>IF(OR(A180="",B180=""),"",IF(C180=Yr_Cur,"CY",IF(C180=Yr_Prev,"PY","")))</f>
        <v/>
      </c>
      <c r="K180" s="21">
        <f>IF(J180="","",IF(J180="CY",SUMIFS(Dat_H,Dat_A,A180,Dat_B,B180,Dat_C,Yr_Prev),SUMIFS(Dat_H,Dat_A,A180,Dat_B,B180,Dat_C,Yr_Cur)))</f>
        <v/>
      </c>
      <c r="L180" s="21">
        <f>IF(J180="",0,IF(AND(ISNUMBER(H180),N(K180)&gt;0,ISNUMBER(F180),ISNUMBER(G180),OR(Sel_Market="All markets",A180=Sel_Market),COUNTIFS(Control!$B$11:$B$13,B180,Control!$C$11:$C$13,"Yes")&gt;0),1,0))</f>
        <v/>
      </c>
      <c r="M180" s="21">
        <f>IF(L180=1,IF(J180="CY",H180,K180),"")</f>
        <v/>
      </c>
      <c r="N180" s="21">
        <f>IF(L180=1,IF(J180="PY",H180,K180),"")</f>
        <v/>
      </c>
      <c r="O180" s="23">
        <f>IF(L180=1,IF(J180="PY",F180*M180/N180,F180),0)</f>
        <v/>
      </c>
      <c r="P180" s="23">
        <f>IF(L180=1,IF(J180="PY",G180*M180/N180,G180),0)</f>
        <v/>
      </c>
      <c r="Q180" s="23">
        <f>IF(AND(L180=1,J180="PY"),F180*(N180-M180)/N180,0)</f>
        <v/>
      </c>
      <c r="R180" s="23">
        <f>IF(AND(L180=1,J180="PY"),G180*(N180-M180)/N180,0)</f>
        <v/>
      </c>
      <c r="S180" s="21">
        <f>IF(COUNTA(A180:G180)=0,"",IF(OR(A180="",B180="",NOT(ISNUMBER(C180))),"Fill market, product and year",IF(COUNTIF(Control!$B$11:$B$13,B180)=0,"Unknown product",IF(COUNTIFS(Dat_A,A180,Dat_B,B180,Dat_C,C180)&gt;1,"Duplicate market/product/year",IF(OR(NOT(ISNUMBER(D180)),NOT(ISNUMBER(E180))),"Add launch date and Data through date",IF(E180&lt;D180,"Data through is before launch",IF(OR(NOT(ISNUMBER(F180)),NOT(ISNUMBER(G180))),"Add units and revenue","OK")))))))</f>
        <v/>
      </c>
    </row>
    <row r="181">
      <c r="A181" s="17" t="n"/>
      <c r="B181" s="17" t="n"/>
      <c r="C181" s="17" t="n"/>
      <c r="D181" s="18" t="n"/>
      <c r="E181" s="18" t="n"/>
      <c r="F181" s="19" t="n"/>
      <c r="G181" s="20" t="n"/>
      <c r="H181" s="21">
        <f>IF(AND(ISNUMBER(D181),ISNUMBER(E181)),E181-D181+1,"")</f>
        <v/>
      </c>
      <c r="I181" s="22">
        <f>IF(AND(ISNUMBER(F181),N(F181)&gt;0,ISNUMBER(G181)),G181/F181,"")</f>
        <v/>
      </c>
      <c r="J181" s="21">
        <f>IF(OR(A181="",B181=""),"",IF(C181=Yr_Cur,"CY",IF(C181=Yr_Prev,"PY","")))</f>
        <v/>
      </c>
      <c r="K181" s="21">
        <f>IF(J181="","",IF(J181="CY",SUMIFS(Dat_H,Dat_A,A181,Dat_B,B181,Dat_C,Yr_Prev),SUMIFS(Dat_H,Dat_A,A181,Dat_B,B181,Dat_C,Yr_Cur)))</f>
        <v/>
      </c>
      <c r="L181" s="21">
        <f>IF(J181="",0,IF(AND(ISNUMBER(H181),N(K181)&gt;0,ISNUMBER(F181),ISNUMBER(G181),OR(Sel_Market="All markets",A181=Sel_Market),COUNTIFS(Control!$B$11:$B$13,B181,Control!$C$11:$C$13,"Yes")&gt;0),1,0))</f>
        <v/>
      </c>
      <c r="M181" s="21">
        <f>IF(L181=1,IF(J181="CY",H181,K181),"")</f>
        <v/>
      </c>
      <c r="N181" s="21">
        <f>IF(L181=1,IF(J181="PY",H181,K181),"")</f>
        <v/>
      </c>
      <c r="O181" s="23">
        <f>IF(L181=1,IF(J181="PY",F181*M181/N181,F181),0)</f>
        <v/>
      </c>
      <c r="P181" s="23">
        <f>IF(L181=1,IF(J181="PY",G181*M181/N181,G181),0)</f>
        <v/>
      </c>
      <c r="Q181" s="23">
        <f>IF(AND(L181=1,J181="PY"),F181*(N181-M181)/N181,0)</f>
        <v/>
      </c>
      <c r="R181" s="23">
        <f>IF(AND(L181=1,J181="PY"),G181*(N181-M181)/N181,0)</f>
        <v/>
      </c>
      <c r="S181" s="21">
        <f>IF(COUNTA(A181:G181)=0,"",IF(OR(A181="",B181="",NOT(ISNUMBER(C181))),"Fill market, product and year",IF(COUNTIF(Control!$B$11:$B$13,B181)=0,"Unknown product",IF(COUNTIFS(Dat_A,A181,Dat_B,B181,Dat_C,C181)&gt;1,"Duplicate market/product/year",IF(OR(NOT(ISNUMBER(D181)),NOT(ISNUMBER(E181))),"Add launch date and Data through date",IF(E181&lt;D181,"Data through is before launch",IF(OR(NOT(ISNUMBER(F181)),NOT(ISNUMBER(G181))),"Add units and revenue","OK")))))))</f>
        <v/>
      </c>
    </row>
    <row r="182">
      <c r="A182" s="17" t="n"/>
      <c r="B182" s="17" t="n"/>
      <c r="C182" s="17" t="n"/>
      <c r="D182" s="18" t="n"/>
      <c r="E182" s="18" t="n"/>
      <c r="F182" s="19" t="n"/>
      <c r="G182" s="20" t="n"/>
      <c r="H182" s="21">
        <f>IF(AND(ISNUMBER(D182),ISNUMBER(E182)),E182-D182+1,"")</f>
        <v/>
      </c>
      <c r="I182" s="22">
        <f>IF(AND(ISNUMBER(F182),N(F182)&gt;0,ISNUMBER(G182)),G182/F182,"")</f>
        <v/>
      </c>
      <c r="J182" s="21">
        <f>IF(OR(A182="",B182=""),"",IF(C182=Yr_Cur,"CY",IF(C182=Yr_Prev,"PY","")))</f>
        <v/>
      </c>
      <c r="K182" s="21">
        <f>IF(J182="","",IF(J182="CY",SUMIFS(Dat_H,Dat_A,A182,Dat_B,B182,Dat_C,Yr_Prev),SUMIFS(Dat_H,Dat_A,A182,Dat_B,B182,Dat_C,Yr_Cur)))</f>
        <v/>
      </c>
      <c r="L182" s="21">
        <f>IF(J182="",0,IF(AND(ISNUMBER(H182),N(K182)&gt;0,ISNUMBER(F182),ISNUMBER(G182),OR(Sel_Market="All markets",A182=Sel_Market),COUNTIFS(Control!$B$11:$B$13,B182,Control!$C$11:$C$13,"Yes")&gt;0),1,0))</f>
        <v/>
      </c>
      <c r="M182" s="21">
        <f>IF(L182=1,IF(J182="CY",H182,K182),"")</f>
        <v/>
      </c>
      <c r="N182" s="21">
        <f>IF(L182=1,IF(J182="PY",H182,K182),"")</f>
        <v/>
      </c>
      <c r="O182" s="23">
        <f>IF(L182=1,IF(J182="PY",F182*M182/N182,F182),0)</f>
        <v/>
      </c>
      <c r="P182" s="23">
        <f>IF(L182=1,IF(J182="PY",G182*M182/N182,G182),0)</f>
        <v/>
      </c>
      <c r="Q182" s="23">
        <f>IF(AND(L182=1,J182="PY"),F182*(N182-M182)/N182,0)</f>
        <v/>
      </c>
      <c r="R182" s="23">
        <f>IF(AND(L182=1,J182="PY"),G182*(N182-M182)/N182,0)</f>
        <v/>
      </c>
      <c r="S182" s="21">
        <f>IF(COUNTA(A182:G182)=0,"",IF(OR(A182="",B182="",NOT(ISNUMBER(C182))),"Fill market, product and year",IF(COUNTIF(Control!$B$11:$B$13,B182)=0,"Unknown product",IF(COUNTIFS(Dat_A,A182,Dat_B,B182,Dat_C,C182)&gt;1,"Duplicate market/product/year",IF(OR(NOT(ISNUMBER(D182)),NOT(ISNUMBER(E182))),"Add launch date and Data through date",IF(E182&lt;D182,"Data through is before launch",IF(OR(NOT(ISNUMBER(F182)),NOT(ISNUMBER(G182))),"Add units and revenue","OK")))))))</f>
        <v/>
      </c>
    </row>
    <row r="183">
      <c r="A183" s="17" t="n"/>
      <c r="B183" s="17" t="n"/>
      <c r="C183" s="17" t="n"/>
      <c r="D183" s="18" t="n"/>
      <c r="E183" s="18" t="n"/>
      <c r="F183" s="19" t="n"/>
      <c r="G183" s="20" t="n"/>
      <c r="H183" s="21">
        <f>IF(AND(ISNUMBER(D183),ISNUMBER(E183)),E183-D183+1,"")</f>
        <v/>
      </c>
      <c r="I183" s="22">
        <f>IF(AND(ISNUMBER(F183),N(F183)&gt;0,ISNUMBER(G183)),G183/F183,"")</f>
        <v/>
      </c>
      <c r="J183" s="21">
        <f>IF(OR(A183="",B183=""),"",IF(C183=Yr_Cur,"CY",IF(C183=Yr_Prev,"PY","")))</f>
        <v/>
      </c>
      <c r="K183" s="21">
        <f>IF(J183="","",IF(J183="CY",SUMIFS(Dat_H,Dat_A,A183,Dat_B,B183,Dat_C,Yr_Prev),SUMIFS(Dat_H,Dat_A,A183,Dat_B,B183,Dat_C,Yr_Cur)))</f>
        <v/>
      </c>
      <c r="L183" s="21">
        <f>IF(J183="",0,IF(AND(ISNUMBER(H183),N(K183)&gt;0,ISNUMBER(F183),ISNUMBER(G183),OR(Sel_Market="All markets",A183=Sel_Market),COUNTIFS(Control!$B$11:$B$13,B183,Control!$C$11:$C$13,"Yes")&gt;0),1,0))</f>
        <v/>
      </c>
      <c r="M183" s="21">
        <f>IF(L183=1,IF(J183="CY",H183,K183),"")</f>
        <v/>
      </c>
      <c r="N183" s="21">
        <f>IF(L183=1,IF(J183="PY",H183,K183),"")</f>
        <v/>
      </c>
      <c r="O183" s="23">
        <f>IF(L183=1,IF(J183="PY",F183*M183/N183,F183),0)</f>
        <v/>
      </c>
      <c r="P183" s="23">
        <f>IF(L183=1,IF(J183="PY",G183*M183/N183,G183),0)</f>
        <v/>
      </c>
      <c r="Q183" s="23">
        <f>IF(AND(L183=1,J183="PY"),F183*(N183-M183)/N183,0)</f>
        <v/>
      </c>
      <c r="R183" s="23">
        <f>IF(AND(L183=1,J183="PY"),G183*(N183-M183)/N183,0)</f>
        <v/>
      </c>
      <c r="S183" s="21">
        <f>IF(COUNTA(A183:G183)=0,"",IF(OR(A183="",B183="",NOT(ISNUMBER(C183))),"Fill market, product and year",IF(COUNTIF(Control!$B$11:$B$13,B183)=0,"Unknown product",IF(COUNTIFS(Dat_A,A183,Dat_B,B183,Dat_C,C183)&gt;1,"Duplicate market/product/year",IF(OR(NOT(ISNUMBER(D183)),NOT(ISNUMBER(E183))),"Add launch date and Data through date",IF(E183&lt;D183,"Data through is before launch",IF(OR(NOT(ISNUMBER(F183)),NOT(ISNUMBER(G183))),"Add units and revenue","OK")))))))</f>
        <v/>
      </c>
    </row>
    <row r="184">
      <c r="A184" s="17" t="n"/>
      <c r="B184" s="17" t="n"/>
      <c r="C184" s="17" t="n"/>
      <c r="D184" s="18" t="n"/>
      <c r="E184" s="18" t="n"/>
      <c r="F184" s="19" t="n"/>
      <c r="G184" s="20" t="n"/>
      <c r="H184" s="21">
        <f>IF(AND(ISNUMBER(D184),ISNUMBER(E184)),E184-D184+1,"")</f>
        <v/>
      </c>
      <c r="I184" s="22">
        <f>IF(AND(ISNUMBER(F184),N(F184)&gt;0,ISNUMBER(G184)),G184/F184,"")</f>
        <v/>
      </c>
      <c r="J184" s="21">
        <f>IF(OR(A184="",B184=""),"",IF(C184=Yr_Cur,"CY",IF(C184=Yr_Prev,"PY","")))</f>
        <v/>
      </c>
      <c r="K184" s="21">
        <f>IF(J184="","",IF(J184="CY",SUMIFS(Dat_H,Dat_A,A184,Dat_B,B184,Dat_C,Yr_Prev),SUMIFS(Dat_H,Dat_A,A184,Dat_B,B184,Dat_C,Yr_Cur)))</f>
        <v/>
      </c>
      <c r="L184" s="21">
        <f>IF(J184="",0,IF(AND(ISNUMBER(H184),N(K184)&gt;0,ISNUMBER(F184),ISNUMBER(G184),OR(Sel_Market="All markets",A184=Sel_Market),COUNTIFS(Control!$B$11:$B$13,B184,Control!$C$11:$C$13,"Yes")&gt;0),1,0))</f>
        <v/>
      </c>
      <c r="M184" s="21">
        <f>IF(L184=1,IF(J184="CY",H184,K184),"")</f>
        <v/>
      </c>
      <c r="N184" s="21">
        <f>IF(L184=1,IF(J184="PY",H184,K184),"")</f>
        <v/>
      </c>
      <c r="O184" s="23">
        <f>IF(L184=1,IF(J184="PY",F184*M184/N184,F184),0)</f>
        <v/>
      </c>
      <c r="P184" s="23">
        <f>IF(L184=1,IF(J184="PY",G184*M184/N184,G184),0)</f>
        <v/>
      </c>
      <c r="Q184" s="23">
        <f>IF(AND(L184=1,J184="PY"),F184*(N184-M184)/N184,0)</f>
        <v/>
      </c>
      <c r="R184" s="23">
        <f>IF(AND(L184=1,J184="PY"),G184*(N184-M184)/N184,0)</f>
        <v/>
      </c>
      <c r="S184" s="21">
        <f>IF(COUNTA(A184:G184)=0,"",IF(OR(A184="",B184="",NOT(ISNUMBER(C184))),"Fill market, product and year",IF(COUNTIF(Control!$B$11:$B$13,B184)=0,"Unknown product",IF(COUNTIFS(Dat_A,A184,Dat_B,B184,Dat_C,C184)&gt;1,"Duplicate market/product/year",IF(OR(NOT(ISNUMBER(D184)),NOT(ISNUMBER(E184))),"Add launch date and Data through date",IF(E184&lt;D184,"Data through is before launch",IF(OR(NOT(ISNUMBER(F184)),NOT(ISNUMBER(G184))),"Add units and revenue","OK")))))))</f>
        <v/>
      </c>
    </row>
    <row r="185">
      <c r="A185" s="17" t="n"/>
      <c r="B185" s="17" t="n"/>
      <c r="C185" s="17" t="n"/>
      <c r="D185" s="18" t="n"/>
      <c r="E185" s="18" t="n"/>
      <c r="F185" s="19" t="n"/>
      <c r="G185" s="20" t="n"/>
      <c r="H185" s="21">
        <f>IF(AND(ISNUMBER(D185),ISNUMBER(E185)),E185-D185+1,"")</f>
        <v/>
      </c>
      <c r="I185" s="22">
        <f>IF(AND(ISNUMBER(F185),N(F185)&gt;0,ISNUMBER(G185)),G185/F185,"")</f>
        <v/>
      </c>
      <c r="J185" s="21">
        <f>IF(OR(A185="",B185=""),"",IF(C185=Yr_Cur,"CY",IF(C185=Yr_Prev,"PY","")))</f>
        <v/>
      </c>
      <c r="K185" s="21">
        <f>IF(J185="","",IF(J185="CY",SUMIFS(Dat_H,Dat_A,A185,Dat_B,B185,Dat_C,Yr_Prev),SUMIFS(Dat_H,Dat_A,A185,Dat_B,B185,Dat_C,Yr_Cur)))</f>
        <v/>
      </c>
      <c r="L185" s="21">
        <f>IF(J185="",0,IF(AND(ISNUMBER(H185),N(K185)&gt;0,ISNUMBER(F185),ISNUMBER(G185),OR(Sel_Market="All markets",A185=Sel_Market),COUNTIFS(Control!$B$11:$B$13,B185,Control!$C$11:$C$13,"Yes")&gt;0),1,0))</f>
        <v/>
      </c>
      <c r="M185" s="21">
        <f>IF(L185=1,IF(J185="CY",H185,K185),"")</f>
        <v/>
      </c>
      <c r="N185" s="21">
        <f>IF(L185=1,IF(J185="PY",H185,K185),"")</f>
        <v/>
      </c>
      <c r="O185" s="23">
        <f>IF(L185=1,IF(J185="PY",F185*M185/N185,F185),0)</f>
        <v/>
      </c>
      <c r="P185" s="23">
        <f>IF(L185=1,IF(J185="PY",G185*M185/N185,G185),0)</f>
        <v/>
      </c>
      <c r="Q185" s="23">
        <f>IF(AND(L185=1,J185="PY"),F185*(N185-M185)/N185,0)</f>
        <v/>
      </c>
      <c r="R185" s="23">
        <f>IF(AND(L185=1,J185="PY"),G185*(N185-M185)/N185,0)</f>
        <v/>
      </c>
      <c r="S185" s="21">
        <f>IF(COUNTA(A185:G185)=0,"",IF(OR(A185="",B185="",NOT(ISNUMBER(C185))),"Fill market, product and year",IF(COUNTIF(Control!$B$11:$B$13,B185)=0,"Unknown product",IF(COUNTIFS(Dat_A,A185,Dat_B,B185,Dat_C,C185)&gt;1,"Duplicate market/product/year",IF(OR(NOT(ISNUMBER(D185)),NOT(ISNUMBER(E185))),"Add launch date and Data through date",IF(E185&lt;D185,"Data through is before launch",IF(OR(NOT(ISNUMBER(F185)),NOT(ISNUMBER(G185))),"Add units and revenue","OK")))))))</f>
        <v/>
      </c>
    </row>
    <row r="186">
      <c r="A186" s="17" t="n"/>
      <c r="B186" s="17" t="n"/>
      <c r="C186" s="17" t="n"/>
      <c r="D186" s="18" t="n"/>
      <c r="E186" s="18" t="n"/>
      <c r="F186" s="19" t="n"/>
      <c r="G186" s="20" t="n"/>
      <c r="H186" s="21">
        <f>IF(AND(ISNUMBER(D186),ISNUMBER(E186)),E186-D186+1,"")</f>
        <v/>
      </c>
      <c r="I186" s="22">
        <f>IF(AND(ISNUMBER(F186),N(F186)&gt;0,ISNUMBER(G186)),G186/F186,"")</f>
        <v/>
      </c>
      <c r="J186" s="21">
        <f>IF(OR(A186="",B186=""),"",IF(C186=Yr_Cur,"CY",IF(C186=Yr_Prev,"PY","")))</f>
        <v/>
      </c>
      <c r="K186" s="21">
        <f>IF(J186="","",IF(J186="CY",SUMIFS(Dat_H,Dat_A,A186,Dat_B,B186,Dat_C,Yr_Prev),SUMIFS(Dat_H,Dat_A,A186,Dat_B,B186,Dat_C,Yr_Cur)))</f>
        <v/>
      </c>
      <c r="L186" s="21">
        <f>IF(J186="",0,IF(AND(ISNUMBER(H186),N(K186)&gt;0,ISNUMBER(F186),ISNUMBER(G186),OR(Sel_Market="All markets",A186=Sel_Market),COUNTIFS(Control!$B$11:$B$13,B186,Control!$C$11:$C$13,"Yes")&gt;0),1,0))</f>
        <v/>
      </c>
      <c r="M186" s="21">
        <f>IF(L186=1,IF(J186="CY",H186,K186),"")</f>
        <v/>
      </c>
      <c r="N186" s="21">
        <f>IF(L186=1,IF(J186="PY",H186,K186),"")</f>
        <v/>
      </c>
      <c r="O186" s="23">
        <f>IF(L186=1,IF(J186="PY",F186*M186/N186,F186),0)</f>
        <v/>
      </c>
      <c r="P186" s="23">
        <f>IF(L186=1,IF(J186="PY",G186*M186/N186,G186),0)</f>
        <v/>
      </c>
      <c r="Q186" s="23">
        <f>IF(AND(L186=1,J186="PY"),F186*(N186-M186)/N186,0)</f>
        <v/>
      </c>
      <c r="R186" s="23">
        <f>IF(AND(L186=1,J186="PY"),G186*(N186-M186)/N186,0)</f>
        <v/>
      </c>
      <c r="S186" s="21">
        <f>IF(COUNTA(A186:G186)=0,"",IF(OR(A186="",B186="",NOT(ISNUMBER(C186))),"Fill market, product and year",IF(COUNTIF(Control!$B$11:$B$13,B186)=0,"Unknown product",IF(COUNTIFS(Dat_A,A186,Dat_B,B186,Dat_C,C186)&gt;1,"Duplicate market/product/year",IF(OR(NOT(ISNUMBER(D186)),NOT(ISNUMBER(E186))),"Add launch date and Data through date",IF(E186&lt;D186,"Data through is before launch",IF(OR(NOT(ISNUMBER(F186)),NOT(ISNUMBER(G186))),"Add units and revenue","OK")))))))</f>
        <v/>
      </c>
    </row>
    <row r="187">
      <c r="A187" s="17" t="n"/>
      <c r="B187" s="17" t="n"/>
      <c r="C187" s="17" t="n"/>
      <c r="D187" s="18" t="n"/>
      <c r="E187" s="18" t="n"/>
      <c r="F187" s="19" t="n"/>
      <c r="G187" s="20" t="n"/>
      <c r="H187" s="21">
        <f>IF(AND(ISNUMBER(D187),ISNUMBER(E187)),E187-D187+1,"")</f>
        <v/>
      </c>
      <c r="I187" s="22">
        <f>IF(AND(ISNUMBER(F187),N(F187)&gt;0,ISNUMBER(G187)),G187/F187,"")</f>
        <v/>
      </c>
      <c r="J187" s="21">
        <f>IF(OR(A187="",B187=""),"",IF(C187=Yr_Cur,"CY",IF(C187=Yr_Prev,"PY","")))</f>
        <v/>
      </c>
      <c r="K187" s="21">
        <f>IF(J187="","",IF(J187="CY",SUMIFS(Dat_H,Dat_A,A187,Dat_B,B187,Dat_C,Yr_Prev),SUMIFS(Dat_H,Dat_A,A187,Dat_B,B187,Dat_C,Yr_Cur)))</f>
        <v/>
      </c>
      <c r="L187" s="21">
        <f>IF(J187="",0,IF(AND(ISNUMBER(H187),N(K187)&gt;0,ISNUMBER(F187),ISNUMBER(G187),OR(Sel_Market="All markets",A187=Sel_Market),COUNTIFS(Control!$B$11:$B$13,B187,Control!$C$11:$C$13,"Yes")&gt;0),1,0))</f>
        <v/>
      </c>
      <c r="M187" s="21">
        <f>IF(L187=1,IF(J187="CY",H187,K187),"")</f>
        <v/>
      </c>
      <c r="N187" s="21">
        <f>IF(L187=1,IF(J187="PY",H187,K187),"")</f>
        <v/>
      </c>
      <c r="O187" s="23">
        <f>IF(L187=1,IF(J187="PY",F187*M187/N187,F187),0)</f>
        <v/>
      </c>
      <c r="P187" s="23">
        <f>IF(L187=1,IF(J187="PY",G187*M187/N187,G187),0)</f>
        <v/>
      </c>
      <c r="Q187" s="23">
        <f>IF(AND(L187=1,J187="PY"),F187*(N187-M187)/N187,0)</f>
        <v/>
      </c>
      <c r="R187" s="23">
        <f>IF(AND(L187=1,J187="PY"),G187*(N187-M187)/N187,0)</f>
        <v/>
      </c>
      <c r="S187" s="21">
        <f>IF(COUNTA(A187:G187)=0,"",IF(OR(A187="",B187="",NOT(ISNUMBER(C187))),"Fill market, product and year",IF(COUNTIF(Control!$B$11:$B$13,B187)=0,"Unknown product",IF(COUNTIFS(Dat_A,A187,Dat_B,B187,Dat_C,C187)&gt;1,"Duplicate market/product/year",IF(OR(NOT(ISNUMBER(D187)),NOT(ISNUMBER(E187))),"Add launch date and Data through date",IF(E187&lt;D187,"Data through is before launch",IF(OR(NOT(ISNUMBER(F187)),NOT(ISNUMBER(G187))),"Add units and revenue","OK")))))))</f>
        <v/>
      </c>
    </row>
    <row r="188">
      <c r="A188" s="17" t="n"/>
      <c r="B188" s="17" t="n"/>
      <c r="C188" s="17" t="n"/>
      <c r="D188" s="18" t="n"/>
      <c r="E188" s="18" t="n"/>
      <c r="F188" s="19" t="n"/>
      <c r="G188" s="20" t="n"/>
      <c r="H188" s="21">
        <f>IF(AND(ISNUMBER(D188),ISNUMBER(E188)),E188-D188+1,"")</f>
        <v/>
      </c>
      <c r="I188" s="22">
        <f>IF(AND(ISNUMBER(F188),N(F188)&gt;0,ISNUMBER(G188)),G188/F188,"")</f>
        <v/>
      </c>
      <c r="J188" s="21">
        <f>IF(OR(A188="",B188=""),"",IF(C188=Yr_Cur,"CY",IF(C188=Yr_Prev,"PY","")))</f>
        <v/>
      </c>
      <c r="K188" s="21">
        <f>IF(J188="","",IF(J188="CY",SUMIFS(Dat_H,Dat_A,A188,Dat_B,B188,Dat_C,Yr_Prev),SUMIFS(Dat_H,Dat_A,A188,Dat_B,B188,Dat_C,Yr_Cur)))</f>
        <v/>
      </c>
      <c r="L188" s="21">
        <f>IF(J188="",0,IF(AND(ISNUMBER(H188),N(K188)&gt;0,ISNUMBER(F188),ISNUMBER(G188),OR(Sel_Market="All markets",A188=Sel_Market),COUNTIFS(Control!$B$11:$B$13,B188,Control!$C$11:$C$13,"Yes")&gt;0),1,0))</f>
        <v/>
      </c>
      <c r="M188" s="21">
        <f>IF(L188=1,IF(J188="CY",H188,K188),"")</f>
        <v/>
      </c>
      <c r="N188" s="21">
        <f>IF(L188=1,IF(J188="PY",H188,K188),"")</f>
        <v/>
      </c>
      <c r="O188" s="23">
        <f>IF(L188=1,IF(J188="PY",F188*M188/N188,F188),0)</f>
        <v/>
      </c>
      <c r="P188" s="23">
        <f>IF(L188=1,IF(J188="PY",G188*M188/N188,G188),0)</f>
        <v/>
      </c>
      <c r="Q188" s="23">
        <f>IF(AND(L188=1,J188="PY"),F188*(N188-M188)/N188,0)</f>
        <v/>
      </c>
      <c r="R188" s="23">
        <f>IF(AND(L188=1,J188="PY"),G188*(N188-M188)/N188,0)</f>
        <v/>
      </c>
      <c r="S188" s="21">
        <f>IF(COUNTA(A188:G188)=0,"",IF(OR(A188="",B188="",NOT(ISNUMBER(C188))),"Fill market, product and year",IF(COUNTIF(Control!$B$11:$B$13,B188)=0,"Unknown product",IF(COUNTIFS(Dat_A,A188,Dat_B,B188,Dat_C,C188)&gt;1,"Duplicate market/product/year",IF(OR(NOT(ISNUMBER(D188)),NOT(ISNUMBER(E188))),"Add launch date and Data through date",IF(E188&lt;D188,"Data through is before launch",IF(OR(NOT(ISNUMBER(F188)),NOT(ISNUMBER(G188))),"Add units and revenue","OK")))))))</f>
        <v/>
      </c>
    </row>
    <row r="189">
      <c r="A189" s="17" t="n"/>
      <c r="B189" s="17" t="n"/>
      <c r="C189" s="17" t="n"/>
      <c r="D189" s="18" t="n"/>
      <c r="E189" s="18" t="n"/>
      <c r="F189" s="19" t="n"/>
      <c r="G189" s="20" t="n"/>
      <c r="H189" s="21">
        <f>IF(AND(ISNUMBER(D189),ISNUMBER(E189)),E189-D189+1,"")</f>
        <v/>
      </c>
      <c r="I189" s="22">
        <f>IF(AND(ISNUMBER(F189),N(F189)&gt;0,ISNUMBER(G189)),G189/F189,"")</f>
        <v/>
      </c>
      <c r="J189" s="21">
        <f>IF(OR(A189="",B189=""),"",IF(C189=Yr_Cur,"CY",IF(C189=Yr_Prev,"PY","")))</f>
        <v/>
      </c>
      <c r="K189" s="21">
        <f>IF(J189="","",IF(J189="CY",SUMIFS(Dat_H,Dat_A,A189,Dat_B,B189,Dat_C,Yr_Prev),SUMIFS(Dat_H,Dat_A,A189,Dat_B,B189,Dat_C,Yr_Cur)))</f>
        <v/>
      </c>
      <c r="L189" s="21">
        <f>IF(J189="",0,IF(AND(ISNUMBER(H189),N(K189)&gt;0,ISNUMBER(F189),ISNUMBER(G189),OR(Sel_Market="All markets",A189=Sel_Market),COUNTIFS(Control!$B$11:$B$13,B189,Control!$C$11:$C$13,"Yes")&gt;0),1,0))</f>
        <v/>
      </c>
      <c r="M189" s="21">
        <f>IF(L189=1,IF(J189="CY",H189,K189),"")</f>
        <v/>
      </c>
      <c r="N189" s="21">
        <f>IF(L189=1,IF(J189="PY",H189,K189),"")</f>
        <v/>
      </c>
      <c r="O189" s="23">
        <f>IF(L189=1,IF(J189="PY",F189*M189/N189,F189),0)</f>
        <v/>
      </c>
      <c r="P189" s="23">
        <f>IF(L189=1,IF(J189="PY",G189*M189/N189,G189),0)</f>
        <v/>
      </c>
      <c r="Q189" s="23">
        <f>IF(AND(L189=1,J189="PY"),F189*(N189-M189)/N189,0)</f>
        <v/>
      </c>
      <c r="R189" s="23">
        <f>IF(AND(L189=1,J189="PY"),G189*(N189-M189)/N189,0)</f>
        <v/>
      </c>
      <c r="S189" s="21">
        <f>IF(COUNTA(A189:G189)=0,"",IF(OR(A189="",B189="",NOT(ISNUMBER(C189))),"Fill market, product and year",IF(COUNTIF(Control!$B$11:$B$13,B189)=0,"Unknown product",IF(COUNTIFS(Dat_A,A189,Dat_B,B189,Dat_C,C189)&gt;1,"Duplicate market/product/year",IF(OR(NOT(ISNUMBER(D189)),NOT(ISNUMBER(E189))),"Add launch date and Data through date",IF(E189&lt;D189,"Data through is before launch",IF(OR(NOT(ISNUMBER(F189)),NOT(ISNUMBER(G189))),"Add units and revenue","OK")))))))</f>
        <v/>
      </c>
    </row>
    <row r="190">
      <c r="A190" s="17" t="n"/>
      <c r="B190" s="17" t="n"/>
      <c r="C190" s="17" t="n"/>
      <c r="D190" s="18" t="n"/>
      <c r="E190" s="18" t="n"/>
      <c r="F190" s="19" t="n"/>
      <c r="G190" s="20" t="n"/>
      <c r="H190" s="21">
        <f>IF(AND(ISNUMBER(D190),ISNUMBER(E190)),E190-D190+1,"")</f>
        <v/>
      </c>
      <c r="I190" s="22">
        <f>IF(AND(ISNUMBER(F190),N(F190)&gt;0,ISNUMBER(G190)),G190/F190,"")</f>
        <v/>
      </c>
      <c r="J190" s="21">
        <f>IF(OR(A190="",B190=""),"",IF(C190=Yr_Cur,"CY",IF(C190=Yr_Prev,"PY","")))</f>
        <v/>
      </c>
      <c r="K190" s="21">
        <f>IF(J190="","",IF(J190="CY",SUMIFS(Dat_H,Dat_A,A190,Dat_B,B190,Dat_C,Yr_Prev),SUMIFS(Dat_H,Dat_A,A190,Dat_B,B190,Dat_C,Yr_Cur)))</f>
        <v/>
      </c>
      <c r="L190" s="21">
        <f>IF(J190="",0,IF(AND(ISNUMBER(H190),N(K190)&gt;0,ISNUMBER(F190),ISNUMBER(G190),OR(Sel_Market="All markets",A190=Sel_Market),COUNTIFS(Control!$B$11:$B$13,B190,Control!$C$11:$C$13,"Yes")&gt;0),1,0))</f>
        <v/>
      </c>
      <c r="M190" s="21">
        <f>IF(L190=1,IF(J190="CY",H190,K190),"")</f>
        <v/>
      </c>
      <c r="N190" s="21">
        <f>IF(L190=1,IF(J190="PY",H190,K190),"")</f>
        <v/>
      </c>
      <c r="O190" s="23">
        <f>IF(L190=1,IF(J190="PY",F190*M190/N190,F190),0)</f>
        <v/>
      </c>
      <c r="P190" s="23">
        <f>IF(L190=1,IF(J190="PY",G190*M190/N190,G190),0)</f>
        <v/>
      </c>
      <c r="Q190" s="23">
        <f>IF(AND(L190=1,J190="PY"),F190*(N190-M190)/N190,0)</f>
        <v/>
      </c>
      <c r="R190" s="23">
        <f>IF(AND(L190=1,J190="PY"),G190*(N190-M190)/N190,0)</f>
        <v/>
      </c>
      <c r="S190" s="21">
        <f>IF(COUNTA(A190:G190)=0,"",IF(OR(A190="",B190="",NOT(ISNUMBER(C190))),"Fill market, product and year",IF(COUNTIF(Control!$B$11:$B$13,B190)=0,"Unknown product",IF(COUNTIFS(Dat_A,A190,Dat_B,B190,Dat_C,C190)&gt;1,"Duplicate market/product/year",IF(OR(NOT(ISNUMBER(D190)),NOT(ISNUMBER(E190))),"Add launch date and Data through date",IF(E190&lt;D190,"Data through is before launch",IF(OR(NOT(ISNUMBER(F190)),NOT(ISNUMBER(G190))),"Add units and revenue","OK")))))))</f>
        <v/>
      </c>
    </row>
    <row r="191">
      <c r="A191" s="17" t="n"/>
      <c r="B191" s="17" t="n"/>
      <c r="C191" s="17" t="n"/>
      <c r="D191" s="18" t="n"/>
      <c r="E191" s="18" t="n"/>
      <c r="F191" s="19" t="n"/>
      <c r="G191" s="20" t="n"/>
      <c r="H191" s="21">
        <f>IF(AND(ISNUMBER(D191),ISNUMBER(E191)),E191-D191+1,"")</f>
        <v/>
      </c>
      <c r="I191" s="22">
        <f>IF(AND(ISNUMBER(F191),N(F191)&gt;0,ISNUMBER(G191)),G191/F191,"")</f>
        <v/>
      </c>
      <c r="J191" s="21">
        <f>IF(OR(A191="",B191=""),"",IF(C191=Yr_Cur,"CY",IF(C191=Yr_Prev,"PY","")))</f>
        <v/>
      </c>
      <c r="K191" s="21">
        <f>IF(J191="","",IF(J191="CY",SUMIFS(Dat_H,Dat_A,A191,Dat_B,B191,Dat_C,Yr_Prev),SUMIFS(Dat_H,Dat_A,A191,Dat_B,B191,Dat_C,Yr_Cur)))</f>
        <v/>
      </c>
      <c r="L191" s="21">
        <f>IF(J191="",0,IF(AND(ISNUMBER(H191),N(K191)&gt;0,ISNUMBER(F191),ISNUMBER(G191),OR(Sel_Market="All markets",A191=Sel_Market),COUNTIFS(Control!$B$11:$B$13,B191,Control!$C$11:$C$13,"Yes")&gt;0),1,0))</f>
        <v/>
      </c>
      <c r="M191" s="21">
        <f>IF(L191=1,IF(J191="CY",H191,K191),"")</f>
        <v/>
      </c>
      <c r="N191" s="21">
        <f>IF(L191=1,IF(J191="PY",H191,K191),"")</f>
        <v/>
      </c>
      <c r="O191" s="23">
        <f>IF(L191=1,IF(J191="PY",F191*M191/N191,F191),0)</f>
        <v/>
      </c>
      <c r="P191" s="23">
        <f>IF(L191=1,IF(J191="PY",G191*M191/N191,G191),0)</f>
        <v/>
      </c>
      <c r="Q191" s="23">
        <f>IF(AND(L191=1,J191="PY"),F191*(N191-M191)/N191,0)</f>
        <v/>
      </c>
      <c r="R191" s="23">
        <f>IF(AND(L191=1,J191="PY"),G191*(N191-M191)/N191,0)</f>
        <v/>
      </c>
      <c r="S191" s="21">
        <f>IF(COUNTA(A191:G191)=0,"",IF(OR(A191="",B191="",NOT(ISNUMBER(C191))),"Fill market, product and year",IF(COUNTIF(Control!$B$11:$B$13,B191)=0,"Unknown product",IF(COUNTIFS(Dat_A,A191,Dat_B,B191,Dat_C,C191)&gt;1,"Duplicate market/product/year",IF(OR(NOT(ISNUMBER(D191)),NOT(ISNUMBER(E191))),"Add launch date and Data through date",IF(E191&lt;D191,"Data through is before launch",IF(OR(NOT(ISNUMBER(F191)),NOT(ISNUMBER(G191))),"Add units and revenue","OK")))))))</f>
        <v/>
      </c>
    </row>
    <row r="192">
      <c r="A192" s="17" t="n"/>
      <c r="B192" s="17" t="n"/>
      <c r="C192" s="17" t="n"/>
      <c r="D192" s="18" t="n"/>
      <c r="E192" s="18" t="n"/>
      <c r="F192" s="19" t="n"/>
      <c r="G192" s="20" t="n"/>
      <c r="H192" s="21">
        <f>IF(AND(ISNUMBER(D192),ISNUMBER(E192)),E192-D192+1,"")</f>
        <v/>
      </c>
      <c r="I192" s="22">
        <f>IF(AND(ISNUMBER(F192),N(F192)&gt;0,ISNUMBER(G192)),G192/F192,"")</f>
        <v/>
      </c>
      <c r="J192" s="21">
        <f>IF(OR(A192="",B192=""),"",IF(C192=Yr_Cur,"CY",IF(C192=Yr_Prev,"PY","")))</f>
        <v/>
      </c>
      <c r="K192" s="21">
        <f>IF(J192="","",IF(J192="CY",SUMIFS(Dat_H,Dat_A,A192,Dat_B,B192,Dat_C,Yr_Prev),SUMIFS(Dat_H,Dat_A,A192,Dat_B,B192,Dat_C,Yr_Cur)))</f>
        <v/>
      </c>
      <c r="L192" s="21">
        <f>IF(J192="",0,IF(AND(ISNUMBER(H192),N(K192)&gt;0,ISNUMBER(F192),ISNUMBER(G192),OR(Sel_Market="All markets",A192=Sel_Market),COUNTIFS(Control!$B$11:$B$13,B192,Control!$C$11:$C$13,"Yes")&gt;0),1,0))</f>
        <v/>
      </c>
      <c r="M192" s="21">
        <f>IF(L192=1,IF(J192="CY",H192,K192),"")</f>
        <v/>
      </c>
      <c r="N192" s="21">
        <f>IF(L192=1,IF(J192="PY",H192,K192),"")</f>
        <v/>
      </c>
      <c r="O192" s="23">
        <f>IF(L192=1,IF(J192="PY",F192*M192/N192,F192),0)</f>
        <v/>
      </c>
      <c r="P192" s="23">
        <f>IF(L192=1,IF(J192="PY",G192*M192/N192,G192),0)</f>
        <v/>
      </c>
      <c r="Q192" s="23">
        <f>IF(AND(L192=1,J192="PY"),F192*(N192-M192)/N192,0)</f>
        <v/>
      </c>
      <c r="R192" s="23">
        <f>IF(AND(L192=1,J192="PY"),G192*(N192-M192)/N192,0)</f>
        <v/>
      </c>
      <c r="S192" s="21">
        <f>IF(COUNTA(A192:G192)=0,"",IF(OR(A192="",B192="",NOT(ISNUMBER(C192))),"Fill market, product and year",IF(COUNTIF(Control!$B$11:$B$13,B192)=0,"Unknown product",IF(COUNTIFS(Dat_A,A192,Dat_B,B192,Dat_C,C192)&gt;1,"Duplicate market/product/year",IF(OR(NOT(ISNUMBER(D192)),NOT(ISNUMBER(E192))),"Add launch date and Data through date",IF(E192&lt;D192,"Data through is before launch",IF(OR(NOT(ISNUMBER(F192)),NOT(ISNUMBER(G192))),"Add units and revenue","OK")))))))</f>
        <v/>
      </c>
    </row>
    <row r="193">
      <c r="A193" s="17" t="n"/>
      <c r="B193" s="17" t="n"/>
      <c r="C193" s="17" t="n"/>
      <c r="D193" s="18" t="n"/>
      <c r="E193" s="18" t="n"/>
      <c r="F193" s="19" t="n"/>
      <c r="G193" s="20" t="n"/>
      <c r="H193" s="21">
        <f>IF(AND(ISNUMBER(D193),ISNUMBER(E193)),E193-D193+1,"")</f>
        <v/>
      </c>
      <c r="I193" s="22">
        <f>IF(AND(ISNUMBER(F193),N(F193)&gt;0,ISNUMBER(G193)),G193/F193,"")</f>
        <v/>
      </c>
      <c r="J193" s="21">
        <f>IF(OR(A193="",B193=""),"",IF(C193=Yr_Cur,"CY",IF(C193=Yr_Prev,"PY","")))</f>
        <v/>
      </c>
      <c r="K193" s="21">
        <f>IF(J193="","",IF(J193="CY",SUMIFS(Dat_H,Dat_A,A193,Dat_B,B193,Dat_C,Yr_Prev),SUMIFS(Dat_H,Dat_A,A193,Dat_B,B193,Dat_C,Yr_Cur)))</f>
        <v/>
      </c>
      <c r="L193" s="21">
        <f>IF(J193="",0,IF(AND(ISNUMBER(H193),N(K193)&gt;0,ISNUMBER(F193),ISNUMBER(G193),OR(Sel_Market="All markets",A193=Sel_Market),COUNTIFS(Control!$B$11:$B$13,B193,Control!$C$11:$C$13,"Yes")&gt;0),1,0))</f>
        <v/>
      </c>
      <c r="M193" s="21">
        <f>IF(L193=1,IF(J193="CY",H193,K193),"")</f>
        <v/>
      </c>
      <c r="N193" s="21">
        <f>IF(L193=1,IF(J193="PY",H193,K193),"")</f>
        <v/>
      </c>
      <c r="O193" s="23">
        <f>IF(L193=1,IF(J193="PY",F193*M193/N193,F193),0)</f>
        <v/>
      </c>
      <c r="P193" s="23">
        <f>IF(L193=1,IF(J193="PY",G193*M193/N193,G193),0)</f>
        <v/>
      </c>
      <c r="Q193" s="23">
        <f>IF(AND(L193=1,J193="PY"),F193*(N193-M193)/N193,0)</f>
        <v/>
      </c>
      <c r="R193" s="23">
        <f>IF(AND(L193=1,J193="PY"),G193*(N193-M193)/N193,0)</f>
        <v/>
      </c>
      <c r="S193" s="21">
        <f>IF(COUNTA(A193:G193)=0,"",IF(OR(A193="",B193="",NOT(ISNUMBER(C193))),"Fill market, product and year",IF(COUNTIF(Control!$B$11:$B$13,B193)=0,"Unknown product",IF(COUNTIFS(Dat_A,A193,Dat_B,B193,Dat_C,C193)&gt;1,"Duplicate market/product/year",IF(OR(NOT(ISNUMBER(D193)),NOT(ISNUMBER(E193))),"Add launch date and Data through date",IF(E193&lt;D193,"Data through is before launch",IF(OR(NOT(ISNUMBER(F193)),NOT(ISNUMBER(G193))),"Add units and revenue","OK")))))))</f>
        <v/>
      </c>
    </row>
    <row r="194">
      <c r="A194" s="17" t="n"/>
      <c r="B194" s="17" t="n"/>
      <c r="C194" s="17" t="n"/>
      <c r="D194" s="18" t="n"/>
      <c r="E194" s="18" t="n"/>
      <c r="F194" s="19" t="n"/>
      <c r="G194" s="20" t="n"/>
      <c r="H194" s="21">
        <f>IF(AND(ISNUMBER(D194),ISNUMBER(E194)),E194-D194+1,"")</f>
        <v/>
      </c>
      <c r="I194" s="22">
        <f>IF(AND(ISNUMBER(F194),N(F194)&gt;0,ISNUMBER(G194)),G194/F194,"")</f>
        <v/>
      </c>
      <c r="J194" s="21">
        <f>IF(OR(A194="",B194=""),"",IF(C194=Yr_Cur,"CY",IF(C194=Yr_Prev,"PY","")))</f>
        <v/>
      </c>
      <c r="K194" s="21">
        <f>IF(J194="","",IF(J194="CY",SUMIFS(Dat_H,Dat_A,A194,Dat_B,B194,Dat_C,Yr_Prev),SUMIFS(Dat_H,Dat_A,A194,Dat_B,B194,Dat_C,Yr_Cur)))</f>
        <v/>
      </c>
      <c r="L194" s="21">
        <f>IF(J194="",0,IF(AND(ISNUMBER(H194),N(K194)&gt;0,ISNUMBER(F194),ISNUMBER(G194),OR(Sel_Market="All markets",A194=Sel_Market),COUNTIFS(Control!$B$11:$B$13,B194,Control!$C$11:$C$13,"Yes")&gt;0),1,0))</f>
        <v/>
      </c>
      <c r="M194" s="21">
        <f>IF(L194=1,IF(J194="CY",H194,K194),"")</f>
        <v/>
      </c>
      <c r="N194" s="21">
        <f>IF(L194=1,IF(J194="PY",H194,K194),"")</f>
        <v/>
      </c>
      <c r="O194" s="23">
        <f>IF(L194=1,IF(J194="PY",F194*M194/N194,F194),0)</f>
        <v/>
      </c>
      <c r="P194" s="23">
        <f>IF(L194=1,IF(J194="PY",G194*M194/N194,G194),0)</f>
        <v/>
      </c>
      <c r="Q194" s="23">
        <f>IF(AND(L194=1,J194="PY"),F194*(N194-M194)/N194,0)</f>
        <v/>
      </c>
      <c r="R194" s="23">
        <f>IF(AND(L194=1,J194="PY"),G194*(N194-M194)/N194,0)</f>
        <v/>
      </c>
      <c r="S194" s="21">
        <f>IF(COUNTA(A194:G194)=0,"",IF(OR(A194="",B194="",NOT(ISNUMBER(C194))),"Fill market, product and year",IF(COUNTIF(Control!$B$11:$B$13,B194)=0,"Unknown product",IF(COUNTIFS(Dat_A,A194,Dat_B,B194,Dat_C,C194)&gt;1,"Duplicate market/product/year",IF(OR(NOT(ISNUMBER(D194)),NOT(ISNUMBER(E194))),"Add launch date and Data through date",IF(E194&lt;D194,"Data through is before launch",IF(OR(NOT(ISNUMBER(F194)),NOT(ISNUMBER(G194))),"Add units and revenue","OK")))))))</f>
        <v/>
      </c>
    </row>
    <row r="195">
      <c r="A195" s="17" t="n"/>
      <c r="B195" s="17" t="n"/>
      <c r="C195" s="17" t="n"/>
      <c r="D195" s="18" t="n"/>
      <c r="E195" s="18" t="n"/>
      <c r="F195" s="19" t="n"/>
      <c r="G195" s="20" t="n"/>
      <c r="H195" s="21">
        <f>IF(AND(ISNUMBER(D195),ISNUMBER(E195)),E195-D195+1,"")</f>
        <v/>
      </c>
      <c r="I195" s="22">
        <f>IF(AND(ISNUMBER(F195),N(F195)&gt;0,ISNUMBER(G195)),G195/F195,"")</f>
        <v/>
      </c>
      <c r="J195" s="21">
        <f>IF(OR(A195="",B195=""),"",IF(C195=Yr_Cur,"CY",IF(C195=Yr_Prev,"PY","")))</f>
        <v/>
      </c>
      <c r="K195" s="21">
        <f>IF(J195="","",IF(J195="CY",SUMIFS(Dat_H,Dat_A,A195,Dat_B,B195,Dat_C,Yr_Prev),SUMIFS(Dat_H,Dat_A,A195,Dat_B,B195,Dat_C,Yr_Cur)))</f>
        <v/>
      </c>
      <c r="L195" s="21">
        <f>IF(J195="",0,IF(AND(ISNUMBER(H195),N(K195)&gt;0,ISNUMBER(F195),ISNUMBER(G195),OR(Sel_Market="All markets",A195=Sel_Market),COUNTIFS(Control!$B$11:$B$13,B195,Control!$C$11:$C$13,"Yes")&gt;0),1,0))</f>
        <v/>
      </c>
      <c r="M195" s="21">
        <f>IF(L195=1,IF(J195="CY",H195,K195),"")</f>
        <v/>
      </c>
      <c r="N195" s="21">
        <f>IF(L195=1,IF(J195="PY",H195,K195),"")</f>
        <v/>
      </c>
      <c r="O195" s="23">
        <f>IF(L195=1,IF(J195="PY",F195*M195/N195,F195),0)</f>
        <v/>
      </c>
      <c r="P195" s="23">
        <f>IF(L195=1,IF(J195="PY",G195*M195/N195,G195),0)</f>
        <v/>
      </c>
      <c r="Q195" s="23">
        <f>IF(AND(L195=1,J195="PY"),F195*(N195-M195)/N195,0)</f>
        <v/>
      </c>
      <c r="R195" s="23">
        <f>IF(AND(L195=1,J195="PY"),G195*(N195-M195)/N195,0)</f>
        <v/>
      </c>
      <c r="S195" s="21">
        <f>IF(COUNTA(A195:G195)=0,"",IF(OR(A195="",B195="",NOT(ISNUMBER(C195))),"Fill market, product and year",IF(COUNTIF(Control!$B$11:$B$13,B195)=0,"Unknown product",IF(COUNTIFS(Dat_A,A195,Dat_B,B195,Dat_C,C195)&gt;1,"Duplicate market/product/year",IF(OR(NOT(ISNUMBER(D195)),NOT(ISNUMBER(E195))),"Add launch date and Data through date",IF(E195&lt;D195,"Data through is before launch",IF(OR(NOT(ISNUMBER(F195)),NOT(ISNUMBER(G195))),"Add units and revenue","OK")))))))</f>
        <v/>
      </c>
    </row>
    <row r="196">
      <c r="A196" s="17" t="n"/>
      <c r="B196" s="17" t="n"/>
      <c r="C196" s="17" t="n"/>
      <c r="D196" s="18" t="n"/>
      <c r="E196" s="18" t="n"/>
      <c r="F196" s="19" t="n"/>
      <c r="G196" s="20" t="n"/>
      <c r="H196" s="21">
        <f>IF(AND(ISNUMBER(D196),ISNUMBER(E196)),E196-D196+1,"")</f>
        <v/>
      </c>
      <c r="I196" s="22">
        <f>IF(AND(ISNUMBER(F196),N(F196)&gt;0,ISNUMBER(G196)),G196/F196,"")</f>
        <v/>
      </c>
      <c r="J196" s="21">
        <f>IF(OR(A196="",B196=""),"",IF(C196=Yr_Cur,"CY",IF(C196=Yr_Prev,"PY","")))</f>
        <v/>
      </c>
      <c r="K196" s="21">
        <f>IF(J196="","",IF(J196="CY",SUMIFS(Dat_H,Dat_A,A196,Dat_B,B196,Dat_C,Yr_Prev),SUMIFS(Dat_H,Dat_A,A196,Dat_B,B196,Dat_C,Yr_Cur)))</f>
        <v/>
      </c>
      <c r="L196" s="21">
        <f>IF(J196="",0,IF(AND(ISNUMBER(H196),N(K196)&gt;0,ISNUMBER(F196),ISNUMBER(G196),OR(Sel_Market="All markets",A196=Sel_Market),COUNTIFS(Control!$B$11:$B$13,B196,Control!$C$11:$C$13,"Yes")&gt;0),1,0))</f>
        <v/>
      </c>
      <c r="M196" s="21">
        <f>IF(L196=1,IF(J196="CY",H196,K196),"")</f>
        <v/>
      </c>
      <c r="N196" s="21">
        <f>IF(L196=1,IF(J196="PY",H196,K196),"")</f>
        <v/>
      </c>
      <c r="O196" s="23">
        <f>IF(L196=1,IF(J196="PY",F196*M196/N196,F196),0)</f>
        <v/>
      </c>
      <c r="P196" s="23">
        <f>IF(L196=1,IF(J196="PY",G196*M196/N196,G196),0)</f>
        <v/>
      </c>
      <c r="Q196" s="23">
        <f>IF(AND(L196=1,J196="PY"),F196*(N196-M196)/N196,0)</f>
        <v/>
      </c>
      <c r="R196" s="23">
        <f>IF(AND(L196=1,J196="PY"),G196*(N196-M196)/N196,0)</f>
        <v/>
      </c>
      <c r="S196" s="21">
        <f>IF(COUNTA(A196:G196)=0,"",IF(OR(A196="",B196="",NOT(ISNUMBER(C196))),"Fill market, product and year",IF(COUNTIF(Control!$B$11:$B$13,B196)=0,"Unknown product",IF(COUNTIFS(Dat_A,A196,Dat_B,B196,Dat_C,C196)&gt;1,"Duplicate market/product/year",IF(OR(NOT(ISNUMBER(D196)),NOT(ISNUMBER(E196))),"Add launch date and Data through date",IF(E196&lt;D196,"Data through is before launch",IF(OR(NOT(ISNUMBER(F196)),NOT(ISNUMBER(G196))),"Add units and revenue","OK")))))))</f>
        <v/>
      </c>
    </row>
    <row r="197">
      <c r="A197" s="17" t="n"/>
      <c r="B197" s="17" t="n"/>
      <c r="C197" s="17" t="n"/>
      <c r="D197" s="18" t="n"/>
      <c r="E197" s="18" t="n"/>
      <c r="F197" s="19" t="n"/>
      <c r="G197" s="20" t="n"/>
      <c r="H197" s="21">
        <f>IF(AND(ISNUMBER(D197),ISNUMBER(E197)),E197-D197+1,"")</f>
        <v/>
      </c>
      <c r="I197" s="22">
        <f>IF(AND(ISNUMBER(F197),N(F197)&gt;0,ISNUMBER(G197)),G197/F197,"")</f>
        <v/>
      </c>
      <c r="J197" s="21">
        <f>IF(OR(A197="",B197=""),"",IF(C197=Yr_Cur,"CY",IF(C197=Yr_Prev,"PY","")))</f>
        <v/>
      </c>
      <c r="K197" s="21">
        <f>IF(J197="","",IF(J197="CY",SUMIFS(Dat_H,Dat_A,A197,Dat_B,B197,Dat_C,Yr_Prev),SUMIFS(Dat_H,Dat_A,A197,Dat_B,B197,Dat_C,Yr_Cur)))</f>
        <v/>
      </c>
      <c r="L197" s="21">
        <f>IF(J197="",0,IF(AND(ISNUMBER(H197),N(K197)&gt;0,ISNUMBER(F197),ISNUMBER(G197),OR(Sel_Market="All markets",A197=Sel_Market),COUNTIFS(Control!$B$11:$B$13,B197,Control!$C$11:$C$13,"Yes")&gt;0),1,0))</f>
        <v/>
      </c>
      <c r="M197" s="21">
        <f>IF(L197=1,IF(J197="CY",H197,K197),"")</f>
        <v/>
      </c>
      <c r="N197" s="21">
        <f>IF(L197=1,IF(J197="PY",H197,K197),"")</f>
        <v/>
      </c>
      <c r="O197" s="23">
        <f>IF(L197=1,IF(J197="PY",F197*M197/N197,F197),0)</f>
        <v/>
      </c>
      <c r="P197" s="23">
        <f>IF(L197=1,IF(J197="PY",G197*M197/N197,G197),0)</f>
        <v/>
      </c>
      <c r="Q197" s="23">
        <f>IF(AND(L197=1,J197="PY"),F197*(N197-M197)/N197,0)</f>
        <v/>
      </c>
      <c r="R197" s="23">
        <f>IF(AND(L197=1,J197="PY"),G197*(N197-M197)/N197,0)</f>
        <v/>
      </c>
      <c r="S197" s="21">
        <f>IF(COUNTA(A197:G197)=0,"",IF(OR(A197="",B197="",NOT(ISNUMBER(C197))),"Fill market, product and year",IF(COUNTIF(Control!$B$11:$B$13,B197)=0,"Unknown product",IF(COUNTIFS(Dat_A,A197,Dat_B,B197,Dat_C,C197)&gt;1,"Duplicate market/product/year",IF(OR(NOT(ISNUMBER(D197)),NOT(ISNUMBER(E197))),"Add launch date and Data through date",IF(E197&lt;D197,"Data through is before launch",IF(OR(NOT(ISNUMBER(F197)),NOT(ISNUMBER(G197))),"Add units and revenue","OK")))))))</f>
        <v/>
      </c>
    </row>
    <row r="198">
      <c r="A198" s="17" t="n"/>
      <c r="B198" s="17" t="n"/>
      <c r="C198" s="17" t="n"/>
      <c r="D198" s="18" t="n"/>
      <c r="E198" s="18" t="n"/>
      <c r="F198" s="19" t="n"/>
      <c r="G198" s="20" t="n"/>
      <c r="H198" s="21">
        <f>IF(AND(ISNUMBER(D198),ISNUMBER(E198)),E198-D198+1,"")</f>
        <v/>
      </c>
      <c r="I198" s="22">
        <f>IF(AND(ISNUMBER(F198),N(F198)&gt;0,ISNUMBER(G198)),G198/F198,"")</f>
        <v/>
      </c>
      <c r="J198" s="21">
        <f>IF(OR(A198="",B198=""),"",IF(C198=Yr_Cur,"CY",IF(C198=Yr_Prev,"PY","")))</f>
        <v/>
      </c>
      <c r="K198" s="21">
        <f>IF(J198="","",IF(J198="CY",SUMIFS(Dat_H,Dat_A,A198,Dat_B,B198,Dat_C,Yr_Prev),SUMIFS(Dat_H,Dat_A,A198,Dat_B,B198,Dat_C,Yr_Cur)))</f>
        <v/>
      </c>
      <c r="L198" s="21">
        <f>IF(J198="",0,IF(AND(ISNUMBER(H198),N(K198)&gt;0,ISNUMBER(F198),ISNUMBER(G198),OR(Sel_Market="All markets",A198=Sel_Market),COUNTIFS(Control!$B$11:$B$13,B198,Control!$C$11:$C$13,"Yes")&gt;0),1,0))</f>
        <v/>
      </c>
      <c r="M198" s="21">
        <f>IF(L198=1,IF(J198="CY",H198,K198),"")</f>
        <v/>
      </c>
      <c r="N198" s="21">
        <f>IF(L198=1,IF(J198="PY",H198,K198),"")</f>
        <v/>
      </c>
      <c r="O198" s="23">
        <f>IF(L198=1,IF(J198="PY",F198*M198/N198,F198),0)</f>
        <v/>
      </c>
      <c r="P198" s="23">
        <f>IF(L198=1,IF(J198="PY",G198*M198/N198,G198),0)</f>
        <v/>
      </c>
      <c r="Q198" s="23">
        <f>IF(AND(L198=1,J198="PY"),F198*(N198-M198)/N198,0)</f>
        <v/>
      </c>
      <c r="R198" s="23">
        <f>IF(AND(L198=1,J198="PY"),G198*(N198-M198)/N198,0)</f>
        <v/>
      </c>
      <c r="S198" s="21">
        <f>IF(COUNTA(A198:G198)=0,"",IF(OR(A198="",B198="",NOT(ISNUMBER(C198))),"Fill market, product and year",IF(COUNTIF(Control!$B$11:$B$13,B198)=0,"Unknown product",IF(COUNTIFS(Dat_A,A198,Dat_B,B198,Dat_C,C198)&gt;1,"Duplicate market/product/year",IF(OR(NOT(ISNUMBER(D198)),NOT(ISNUMBER(E198))),"Add launch date and Data through date",IF(E198&lt;D198,"Data through is before launch",IF(OR(NOT(ISNUMBER(F198)),NOT(ISNUMBER(G198))),"Add units and revenue","OK")))))))</f>
        <v/>
      </c>
    </row>
    <row r="199">
      <c r="A199" s="17" t="n"/>
      <c r="B199" s="17" t="n"/>
      <c r="C199" s="17" t="n"/>
      <c r="D199" s="18" t="n"/>
      <c r="E199" s="18" t="n"/>
      <c r="F199" s="19" t="n"/>
      <c r="G199" s="20" t="n"/>
      <c r="H199" s="21">
        <f>IF(AND(ISNUMBER(D199),ISNUMBER(E199)),E199-D199+1,"")</f>
        <v/>
      </c>
      <c r="I199" s="22">
        <f>IF(AND(ISNUMBER(F199),N(F199)&gt;0,ISNUMBER(G199)),G199/F199,"")</f>
        <v/>
      </c>
      <c r="J199" s="21">
        <f>IF(OR(A199="",B199=""),"",IF(C199=Yr_Cur,"CY",IF(C199=Yr_Prev,"PY","")))</f>
        <v/>
      </c>
      <c r="K199" s="21">
        <f>IF(J199="","",IF(J199="CY",SUMIFS(Dat_H,Dat_A,A199,Dat_B,B199,Dat_C,Yr_Prev),SUMIFS(Dat_H,Dat_A,A199,Dat_B,B199,Dat_C,Yr_Cur)))</f>
        <v/>
      </c>
      <c r="L199" s="21">
        <f>IF(J199="",0,IF(AND(ISNUMBER(H199),N(K199)&gt;0,ISNUMBER(F199),ISNUMBER(G199),OR(Sel_Market="All markets",A199=Sel_Market),COUNTIFS(Control!$B$11:$B$13,B199,Control!$C$11:$C$13,"Yes")&gt;0),1,0))</f>
        <v/>
      </c>
      <c r="M199" s="21">
        <f>IF(L199=1,IF(J199="CY",H199,K199),"")</f>
        <v/>
      </c>
      <c r="N199" s="21">
        <f>IF(L199=1,IF(J199="PY",H199,K199),"")</f>
        <v/>
      </c>
      <c r="O199" s="23">
        <f>IF(L199=1,IF(J199="PY",F199*M199/N199,F199),0)</f>
        <v/>
      </c>
      <c r="P199" s="23">
        <f>IF(L199=1,IF(J199="PY",G199*M199/N199,G199),0)</f>
        <v/>
      </c>
      <c r="Q199" s="23">
        <f>IF(AND(L199=1,J199="PY"),F199*(N199-M199)/N199,0)</f>
        <v/>
      </c>
      <c r="R199" s="23">
        <f>IF(AND(L199=1,J199="PY"),G199*(N199-M199)/N199,0)</f>
        <v/>
      </c>
      <c r="S199" s="21">
        <f>IF(COUNTA(A199:G199)=0,"",IF(OR(A199="",B199="",NOT(ISNUMBER(C199))),"Fill market, product and year",IF(COUNTIF(Control!$B$11:$B$13,B199)=0,"Unknown product",IF(COUNTIFS(Dat_A,A199,Dat_B,B199,Dat_C,C199)&gt;1,"Duplicate market/product/year",IF(OR(NOT(ISNUMBER(D199)),NOT(ISNUMBER(E199))),"Add launch date and Data through date",IF(E199&lt;D199,"Data through is before launch",IF(OR(NOT(ISNUMBER(F199)),NOT(ISNUMBER(G199))),"Add units and revenue","OK")))))))</f>
        <v/>
      </c>
    </row>
    <row r="200">
      <c r="A200" s="17" t="n"/>
      <c r="B200" s="17" t="n"/>
      <c r="C200" s="17" t="n"/>
      <c r="D200" s="18" t="n"/>
      <c r="E200" s="18" t="n"/>
      <c r="F200" s="19" t="n"/>
      <c r="G200" s="20" t="n"/>
      <c r="H200" s="21">
        <f>IF(AND(ISNUMBER(D200),ISNUMBER(E200)),E200-D200+1,"")</f>
        <v/>
      </c>
      <c r="I200" s="22">
        <f>IF(AND(ISNUMBER(F200),N(F200)&gt;0,ISNUMBER(G200)),G200/F200,"")</f>
        <v/>
      </c>
      <c r="J200" s="21">
        <f>IF(OR(A200="",B200=""),"",IF(C200=Yr_Cur,"CY",IF(C200=Yr_Prev,"PY","")))</f>
        <v/>
      </c>
      <c r="K200" s="21">
        <f>IF(J200="","",IF(J200="CY",SUMIFS(Dat_H,Dat_A,A200,Dat_B,B200,Dat_C,Yr_Prev),SUMIFS(Dat_H,Dat_A,A200,Dat_B,B200,Dat_C,Yr_Cur)))</f>
        <v/>
      </c>
      <c r="L200" s="21">
        <f>IF(J200="",0,IF(AND(ISNUMBER(H200),N(K200)&gt;0,ISNUMBER(F200),ISNUMBER(G200),OR(Sel_Market="All markets",A200=Sel_Market),COUNTIFS(Control!$B$11:$B$13,B200,Control!$C$11:$C$13,"Yes")&gt;0),1,0))</f>
        <v/>
      </c>
      <c r="M200" s="21">
        <f>IF(L200=1,IF(J200="CY",H200,K200),"")</f>
        <v/>
      </c>
      <c r="N200" s="21">
        <f>IF(L200=1,IF(J200="PY",H200,K200),"")</f>
        <v/>
      </c>
      <c r="O200" s="23">
        <f>IF(L200=1,IF(J200="PY",F200*M200/N200,F200),0)</f>
        <v/>
      </c>
      <c r="P200" s="23">
        <f>IF(L200=1,IF(J200="PY",G200*M200/N200,G200),0)</f>
        <v/>
      </c>
      <c r="Q200" s="23">
        <f>IF(AND(L200=1,J200="PY"),F200*(N200-M200)/N200,0)</f>
        <v/>
      </c>
      <c r="R200" s="23">
        <f>IF(AND(L200=1,J200="PY"),G200*(N200-M200)/N200,0)</f>
        <v/>
      </c>
      <c r="S200" s="21">
        <f>IF(COUNTA(A200:G200)=0,"",IF(OR(A200="",B200="",NOT(ISNUMBER(C200))),"Fill market, product and year",IF(COUNTIF(Control!$B$11:$B$13,B200)=0,"Unknown product",IF(COUNTIFS(Dat_A,A200,Dat_B,B200,Dat_C,C200)&gt;1,"Duplicate market/product/year",IF(OR(NOT(ISNUMBER(D200)),NOT(ISNUMBER(E200))),"Add launch date and Data through date",IF(E200&lt;D200,"Data through is before launch",IF(OR(NOT(ISNUMBER(F200)),NOT(ISNUMBER(G200))),"Add units and revenue","OK")))))))</f>
        <v/>
      </c>
    </row>
    <row r="201">
      <c r="A201" s="17" t="n"/>
      <c r="B201" s="17" t="n"/>
      <c r="C201" s="17" t="n"/>
      <c r="D201" s="18" t="n"/>
      <c r="E201" s="18" t="n"/>
      <c r="F201" s="19" t="n"/>
      <c r="G201" s="20" t="n"/>
      <c r="H201" s="21">
        <f>IF(AND(ISNUMBER(D201),ISNUMBER(E201)),E201-D201+1,"")</f>
        <v/>
      </c>
      <c r="I201" s="22">
        <f>IF(AND(ISNUMBER(F201),N(F201)&gt;0,ISNUMBER(G201)),G201/F201,"")</f>
        <v/>
      </c>
      <c r="J201" s="21">
        <f>IF(OR(A201="",B201=""),"",IF(C201=Yr_Cur,"CY",IF(C201=Yr_Prev,"PY","")))</f>
        <v/>
      </c>
      <c r="K201" s="21">
        <f>IF(J201="","",IF(J201="CY",SUMIFS(Dat_H,Dat_A,A201,Dat_B,B201,Dat_C,Yr_Prev),SUMIFS(Dat_H,Dat_A,A201,Dat_B,B201,Dat_C,Yr_Cur)))</f>
        <v/>
      </c>
      <c r="L201" s="21">
        <f>IF(J201="",0,IF(AND(ISNUMBER(H201),N(K201)&gt;0,ISNUMBER(F201),ISNUMBER(G201),OR(Sel_Market="All markets",A201=Sel_Market),COUNTIFS(Control!$B$11:$B$13,B201,Control!$C$11:$C$13,"Yes")&gt;0),1,0))</f>
        <v/>
      </c>
      <c r="M201" s="21">
        <f>IF(L201=1,IF(J201="CY",H201,K201),"")</f>
        <v/>
      </c>
      <c r="N201" s="21">
        <f>IF(L201=1,IF(J201="PY",H201,K201),"")</f>
        <v/>
      </c>
      <c r="O201" s="23">
        <f>IF(L201=1,IF(J201="PY",F201*M201/N201,F201),0)</f>
        <v/>
      </c>
      <c r="P201" s="23">
        <f>IF(L201=1,IF(J201="PY",G201*M201/N201,G201),0)</f>
        <v/>
      </c>
      <c r="Q201" s="23">
        <f>IF(AND(L201=1,J201="PY"),F201*(N201-M201)/N201,0)</f>
        <v/>
      </c>
      <c r="R201" s="23">
        <f>IF(AND(L201=1,J201="PY"),G201*(N201-M201)/N201,0)</f>
        <v/>
      </c>
      <c r="S201" s="21">
        <f>IF(COUNTA(A201:G201)=0,"",IF(OR(A201="",B201="",NOT(ISNUMBER(C201))),"Fill market, product and year",IF(COUNTIF(Control!$B$11:$B$13,B201)=0,"Unknown product",IF(COUNTIFS(Dat_A,A201,Dat_B,B201,Dat_C,C201)&gt;1,"Duplicate market/product/year",IF(OR(NOT(ISNUMBER(D201)),NOT(ISNUMBER(E201))),"Add launch date and Data through date",IF(E201&lt;D201,"Data through is before launch",IF(OR(NOT(ISNUMBER(F201)),NOT(ISNUMBER(G201))),"Add units and revenue","OK")))))))</f>
        <v/>
      </c>
    </row>
    <row r="202">
      <c r="A202" s="17" t="n"/>
      <c r="B202" s="17" t="n"/>
      <c r="C202" s="17" t="n"/>
      <c r="D202" s="18" t="n"/>
      <c r="E202" s="18" t="n"/>
      <c r="F202" s="19" t="n"/>
      <c r="G202" s="20" t="n"/>
      <c r="H202" s="21">
        <f>IF(AND(ISNUMBER(D202),ISNUMBER(E202)),E202-D202+1,"")</f>
        <v/>
      </c>
      <c r="I202" s="22">
        <f>IF(AND(ISNUMBER(F202),N(F202)&gt;0,ISNUMBER(G202)),G202/F202,"")</f>
        <v/>
      </c>
      <c r="J202" s="21">
        <f>IF(OR(A202="",B202=""),"",IF(C202=Yr_Cur,"CY",IF(C202=Yr_Prev,"PY","")))</f>
        <v/>
      </c>
      <c r="K202" s="21">
        <f>IF(J202="","",IF(J202="CY",SUMIFS(Dat_H,Dat_A,A202,Dat_B,B202,Dat_C,Yr_Prev),SUMIFS(Dat_H,Dat_A,A202,Dat_B,B202,Dat_C,Yr_Cur)))</f>
        <v/>
      </c>
      <c r="L202" s="21">
        <f>IF(J202="",0,IF(AND(ISNUMBER(H202),N(K202)&gt;0,ISNUMBER(F202),ISNUMBER(G202),OR(Sel_Market="All markets",A202=Sel_Market),COUNTIFS(Control!$B$11:$B$13,B202,Control!$C$11:$C$13,"Yes")&gt;0),1,0))</f>
        <v/>
      </c>
      <c r="M202" s="21">
        <f>IF(L202=1,IF(J202="CY",H202,K202),"")</f>
        <v/>
      </c>
      <c r="N202" s="21">
        <f>IF(L202=1,IF(J202="PY",H202,K202),"")</f>
        <v/>
      </c>
      <c r="O202" s="23">
        <f>IF(L202=1,IF(J202="PY",F202*M202/N202,F202),0)</f>
        <v/>
      </c>
      <c r="P202" s="23">
        <f>IF(L202=1,IF(J202="PY",G202*M202/N202,G202),0)</f>
        <v/>
      </c>
      <c r="Q202" s="23">
        <f>IF(AND(L202=1,J202="PY"),F202*(N202-M202)/N202,0)</f>
        <v/>
      </c>
      <c r="R202" s="23">
        <f>IF(AND(L202=1,J202="PY"),G202*(N202-M202)/N202,0)</f>
        <v/>
      </c>
      <c r="S202" s="21">
        <f>IF(COUNTA(A202:G202)=0,"",IF(OR(A202="",B202="",NOT(ISNUMBER(C202))),"Fill market, product and year",IF(COUNTIF(Control!$B$11:$B$13,B202)=0,"Unknown product",IF(COUNTIFS(Dat_A,A202,Dat_B,B202,Dat_C,C202)&gt;1,"Duplicate market/product/year",IF(OR(NOT(ISNUMBER(D202)),NOT(ISNUMBER(E202))),"Add launch date and Data through date",IF(E202&lt;D202,"Data through is before launch",IF(OR(NOT(ISNUMBER(F202)),NOT(ISNUMBER(G202))),"Add units and revenue","OK")))))))</f>
        <v/>
      </c>
    </row>
    <row r="203">
      <c r="A203" s="17" t="n"/>
      <c r="B203" s="17" t="n"/>
      <c r="C203" s="17" t="n"/>
      <c r="D203" s="18" t="n"/>
      <c r="E203" s="18" t="n"/>
      <c r="F203" s="19" t="n"/>
      <c r="G203" s="20" t="n"/>
      <c r="H203" s="21">
        <f>IF(AND(ISNUMBER(D203),ISNUMBER(E203)),E203-D203+1,"")</f>
        <v/>
      </c>
      <c r="I203" s="22">
        <f>IF(AND(ISNUMBER(F203),N(F203)&gt;0,ISNUMBER(G203)),G203/F203,"")</f>
        <v/>
      </c>
      <c r="J203" s="21">
        <f>IF(OR(A203="",B203=""),"",IF(C203=Yr_Cur,"CY",IF(C203=Yr_Prev,"PY","")))</f>
        <v/>
      </c>
      <c r="K203" s="21">
        <f>IF(J203="","",IF(J203="CY",SUMIFS(Dat_H,Dat_A,A203,Dat_B,B203,Dat_C,Yr_Prev),SUMIFS(Dat_H,Dat_A,A203,Dat_B,B203,Dat_C,Yr_Cur)))</f>
        <v/>
      </c>
      <c r="L203" s="21">
        <f>IF(J203="",0,IF(AND(ISNUMBER(H203),N(K203)&gt;0,ISNUMBER(F203),ISNUMBER(G203),OR(Sel_Market="All markets",A203=Sel_Market),COUNTIFS(Control!$B$11:$B$13,B203,Control!$C$11:$C$13,"Yes")&gt;0),1,0))</f>
        <v/>
      </c>
      <c r="M203" s="21">
        <f>IF(L203=1,IF(J203="CY",H203,K203),"")</f>
        <v/>
      </c>
      <c r="N203" s="21">
        <f>IF(L203=1,IF(J203="PY",H203,K203),"")</f>
        <v/>
      </c>
      <c r="O203" s="23">
        <f>IF(L203=1,IF(J203="PY",F203*M203/N203,F203),0)</f>
        <v/>
      </c>
      <c r="P203" s="23">
        <f>IF(L203=1,IF(J203="PY",G203*M203/N203,G203),0)</f>
        <v/>
      </c>
      <c r="Q203" s="23">
        <f>IF(AND(L203=1,J203="PY"),F203*(N203-M203)/N203,0)</f>
        <v/>
      </c>
      <c r="R203" s="23">
        <f>IF(AND(L203=1,J203="PY"),G203*(N203-M203)/N203,0)</f>
        <v/>
      </c>
      <c r="S203" s="21">
        <f>IF(COUNTA(A203:G203)=0,"",IF(OR(A203="",B203="",NOT(ISNUMBER(C203))),"Fill market, product and year",IF(COUNTIF(Control!$B$11:$B$13,B203)=0,"Unknown product",IF(COUNTIFS(Dat_A,A203,Dat_B,B203,Dat_C,C203)&gt;1,"Duplicate market/product/year",IF(OR(NOT(ISNUMBER(D203)),NOT(ISNUMBER(E203))),"Add launch date and Data through date",IF(E203&lt;D203,"Data through is before launch",IF(OR(NOT(ISNUMBER(F203)),NOT(ISNUMBER(G203))),"Add units and revenue","OK")))))))</f>
        <v/>
      </c>
    </row>
    <row r="204">
      <c r="A204" s="17" t="n"/>
      <c r="B204" s="17" t="n"/>
      <c r="C204" s="17" t="n"/>
      <c r="D204" s="18" t="n"/>
      <c r="E204" s="18" t="n"/>
      <c r="F204" s="19" t="n"/>
      <c r="G204" s="20" t="n"/>
      <c r="H204" s="21">
        <f>IF(AND(ISNUMBER(D204),ISNUMBER(E204)),E204-D204+1,"")</f>
        <v/>
      </c>
      <c r="I204" s="22">
        <f>IF(AND(ISNUMBER(F204),N(F204)&gt;0,ISNUMBER(G204)),G204/F204,"")</f>
        <v/>
      </c>
      <c r="J204" s="21">
        <f>IF(OR(A204="",B204=""),"",IF(C204=Yr_Cur,"CY",IF(C204=Yr_Prev,"PY","")))</f>
        <v/>
      </c>
      <c r="K204" s="21">
        <f>IF(J204="","",IF(J204="CY",SUMIFS(Dat_H,Dat_A,A204,Dat_B,B204,Dat_C,Yr_Prev),SUMIFS(Dat_H,Dat_A,A204,Dat_B,B204,Dat_C,Yr_Cur)))</f>
        <v/>
      </c>
      <c r="L204" s="21">
        <f>IF(J204="",0,IF(AND(ISNUMBER(H204),N(K204)&gt;0,ISNUMBER(F204),ISNUMBER(G204),OR(Sel_Market="All markets",A204=Sel_Market),COUNTIFS(Control!$B$11:$B$13,B204,Control!$C$11:$C$13,"Yes")&gt;0),1,0))</f>
        <v/>
      </c>
      <c r="M204" s="21">
        <f>IF(L204=1,IF(J204="CY",H204,K204),"")</f>
        <v/>
      </c>
      <c r="N204" s="21">
        <f>IF(L204=1,IF(J204="PY",H204,K204),"")</f>
        <v/>
      </c>
      <c r="O204" s="23">
        <f>IF(L204=1,IF(J204="PY",F204*M204/N204,F204),0)</f>
        <v/>
      </c>
      <c r="P204" s="23">
        <f>IF(L204=1,IF(J204="PY",G204*M204/N204,G204),0)</f>
        <v/>
      </c>
      <c r="Q204" s="23">
        <f>IF(AND(L204=1,J204="PY"),F204*(N204-M204)/N204,0)</f>
        <v/>
      </c>
      <c r="R204" s="23">
        <f>IF(AND(L204=1,J204="PY"),G204*(N204-M204)/N204,0)</f>
        <v/>
      </c>
      <c r="S204" s="21">
        <f>IF(COUNTA(A204:G204)=0,"",IF(OR(A204="",B204="",NOT(ISNUMBER(C204))),"Fill market, product and year",IF(COUNTIF(Control!$B$11:$B$13,B204)=0,"Unknown product",IF(COUNTIFS(Dat_A,A204,Dat_B,B204,Dat_C,C204)&gt;1,"Duplicate market/product/year",IF(OR(NOT(ISNUMBER(D204)),NOT(ISNUMBER(E204))),"Add launch date and Data through date",IF(E204&lt;D204,"Data through is before launch",IF(OR(NOT(ISNUMBER(F204)),NOT(ISNUMBER(G204))),"Add units and revenue","OK")))))))</f>
        <v/>
      </c>
    </row>
    <row r="205">
      <c r="A205" s="17" t="n"/>
      <c r="B205" s="17" t="n"/>
      <c r="C205" s="17" t="n"/>
      <c r="D205" s="18" t="n"/>
      <c r="E205" s="18" t="n"/>
      <c r="F205" s="19" t="n"/>
      <c r="G205" s="20" t="n"/>
      <c r="H205" s="21">
        <f>IF(AND(ISNUMBER(D205),ISNUMBER(E205)),E205-D205+1,"")</f>
        <v/>
      </c>
      <c r="I205" s="22">
        <f>IF(AND(ISNUMBER(F205),N(F205)&gt;0,ISNUMBER(G205)),G205/F205,"")</f>
        <v/>
      </c>
      <c r="J205" s="21">
        <f>IF(OR(A205="",B205=""),"",IF(C205=Yr_Cur,"CY",IF(C205=Yr_Prev,"PY","")))</f>
        <v/>
      </c>
      <c r="K205" s="21">
        <f>IF(J205="","",IF(J205="CY",SUMIFS(Dat_H,Dat_A,A205,Dat_B,B205,Dat_C,Yr_Prev),SUMIFS(Dat_H,Dat_A,A205,Dat_B,B205,Dat_C,Yr_Cur)))</f>
        <v/>
      </c>
      <c r="L205" s="21">
        <f>IF(J205="",0,IF(AND(ISNUMBER(H205),N(K205)&gt;0,ISNUMBER(F205),ISNUMBER(G205),OR(Sel_Market="All markets",A205=Sel_Market),COUNTIFS(Control!$B$11:$B$13,B205,Control!$C$11:$C$13,"Yes")&gt;0),1,0))</f>
        <v/>
      </c>
      <c r="M205" s="21">
        <f>IF(L205=1,IF(J205="CY",H205,K205),"")</f>
        <v/>
      </c>
      <c r="N205" s="21">
        <f>IF(L205=1,IF(J205="PY",H205,K205),"")</f>
        <v/>
      </c>
      <c r="O205" s="23">
        <f>IF(L205=1,IF(J205="PY",F205*M205/N205,F205),0)</f>
        <v/>
      </c>
      <c r="P205" s="23">
        <f>IF(L205=1,IF(J205="PY",G205*M205/N205,G205),0)</f>
        <v/>
      </c>
      <c r="Q205" s="23">
        <f>IF(AND(L205=1,J205="PY"),F205*(N205-M205)/N205,0)</f>
        <v/>
      </c>
      <c r="R205" s="23">
        <f>IF(AND(L205=1,J205="PY"),G205*(N205-M205)/N205,0)</f>
        <v/>
      </c>
      <c r="S205" s="21">
        <f>IF(COUNTA(A205:G205)=0,"",IF(OR(A205="",B205="",NOT(ISNUMBER(C205))),"Fill market, product and year",IF(COUNTIF(Control!$B$11:$B$13,B205)=0,"Unknown product",IF(COUNTIFS(Dat_A,A205,Dat_B,B205,Dat_C,C205)&gt;1,"Duplicate market/product/year",IF(OR(NOT(ISNUMBER(D205)),NOT(ISNUMBER(E205))),"Add launch date and Data through date",IF(E205&lt;D205,"Data through is before launch",IF(OR(NOT(ISNUMBER(F205)),NOT(ISNUMBER(G205))),"Add units and revenue","OK")))))))</f>
        <v/>
      </c>
    </row>
    <row r="206">
      <c r="A206" s="17" t="n"/>
      <c r="B206" s="17" t="n"/>
      <c r="C206" s="17" t="n"/>
      <c r="D206" s="18" t="n"/>
      <c r="E206" s="18" t="n"/>
      <c r="F206" s="19" t="n"/>
      <c r="G206" s="20" t="n"/>
      <c r="H206" s="21">
        <f>IF(AND(ISNUMBER(D206),ISNUMBER(E206)),E206-D206+1,"")</f>
        <v/>
      </c>
      <c r="I206" s="22">
        <f>IF(AND(ISNUMBER(F206),N(F206)&gt;0,ISNUMBER(G206)),G206/F206,"")</f>
        <v/>
      </c>
      <c r="J206" s="21">
        <f>IF(OR(A206="",B206=""),"",IF(C206=Yr_Cur,"CY",IF(C206=Yr_Prev,"PY","")))</f>
        <v/>
      </c>
      <c r="K206" s="21">
        <f>IF(J206="","",IF(J206="CY",SUMIFS(Dat_H,Dat_A,A206,Dat_B,B206,Dat_C,Yr_Prev),SUMIFS(Dat_H,Dat_A,A206,Dat_B,B206,Dat_C,Yr_Cur)))</f>
        <v/>
      </c>
      <c r="L206" s="21">
        <f>IF(J206="",0,IF(AND(ISNUMBER(H206),N(K206)&gt;0,ISNUMBER(F206),ISNUMBER(G206),OR(Sel_Market="All markets",A206=Sel_Market),COUNTIFS(Control!$B$11:$B$13,B206,Control!$C$11:$C$13,"Yes")&gt;0),1,0))</f>
        <v/>
      </c>
      <c r="M206" s="21">
        <f>IF(L206=1,IF(J206="CY",H206,K206),"")</f>
        <v/>
      </c>
      <c r="N206" s="21">
        <f>IF(L206=1,IF(J206="PY",H206,K206),"")</f>
        <v/>
      </c>
      <c r="O206" s="23">
        <f>IF(L206=1,IF(J206="PY",F206*M206/N206,F206),0)</f>
        <v/>
      </c>
      <c r="P206" s="23">
        <f>IF(L206=1,IF(J206="PY",G206*M206/N206,G206),0)</f>
        <v/>
      </c>
      <c r="Q206" s="23">
        <f>IF(AND(L206=1,J206="PY"),F206*(N206-M206)/N206,0)</f>
        <v/>
      </c>
      <c r="R206" s="23">
        <f>IF(AND(L206=1,J206="PY"),G206*(N206-M206)/N206,0)</f>
        <v/>
      </c>
      <c r="S206" s="21">
        <f>IF(COUNTA(A206:G206)=0,"",IF(OR(A206="",B206="",NOT(ISNUMBER(C206))),"Fill market, product and year",IF(COUNTIF(Control!$B$11:$B$13,B206)=0,"Unknown product",IF(COUNTIFS(Dat_A,A206,Dat_B,B206,Dat_C,C206)&gt;1,"Duplicate market/product/year",IF(OR(NOT(ISNUMBER(D206)),NOT(ISNUMBER(E206))),"Add launch date and Data through date",IF(E206&lt;D206,"Data through is before launch",IF(OR(NOT(ISNUMBER(F206)),NOT(ISNUMBER(G206))),"Add units and revenue","OK")))))))</f>
        <v/>
      </c>
    </row>
    <row r="207">
      <c r="A207" s="17" t="n"/>
      <c r="B207" s="17" t="n"/>
      <c r="C207" s="17" t="n"/>
      <c r="D207" s="18" t="n"/>
      <c r="E207" s="18" t="n"/>
      <c r="F207" s="19" t="n"/>
      <c r="G207" s="20" t="n"/>
      <c r="H207" s="21">
        <f>IF(AND(ISNUMBER(D207),ISNUMBER(E207)),E207-D207+1,"")</f>
        <v/>
      </c>
      <c r="I207" s="22">
        <f>IF(AND(ISNUMBER(F207),N(F207)&gt;0,ISNUMBER(G207)),G207/F207,"")</f>
        <v/>
      </c>
      <c r="J207" s="21">
        <f>IF(OR(A207="",B207=""),"",IF(C207=Yr_Cur,"CY",IF(C207=Yr_Prev,"PY","")))</f>
        <v/>
      </c>
      <c r="K207" s="21">
        <f>IF(J207="","",IF(J207="CY",SUMIFS(Dat_H,Dat_A,A207,Dat_B,B207,Dat_C,Yr_Prev),SUMIFS(Dat_H,Dat_A,A207,Dat_B,B207,Dat_C,Yr_Cur)))</f>
        <v/>
      </c>
      <c r="L207" s="21">
        <f>IF(J207="",0,IF(AND(ISNUMBER(H207),N(K207)&gt;0,ISNUMBER(F207),ISNUMBER(G207),OR(Sel_Market="All markets",A207=Sel_Market),COUNTIFS(Control!$B$11:$B$13,B207,Control!$C$11:$C$13,"Yes")&gt;0),1,0))</f>
        <v/>
      </c>
      <c r="M207" s="21">
        <f>IF(L207=1,IF(J207="CY",H207,K207),"")</f>
        <v/>
      </c>
      <c r="N207" s="21">
        <f>IF(L207=1,IF(J207="PY",H207,K207),"")</f>
        <v/>
      </c>
      <c r="O207" s="23">
        <f>IF(L207=1,IF(J207="PY",F207*M207/N207,F207),0)</f>
        <v/>
      </c>
      <c r="P207" s="23">
        <f>IF(L207=1,IF(J207="PY",G207*M207/N207,G207),0)</f>
        <v/>
      </c>
      <c r="Q207" s="23">
        <f>IF(AND(L207=1,J207="PY"),F207*(N207-M207)/N207,0)</f>
        <v/>
      </c>
      <c r="R207" s="23">
        <f>IF(AND(L207=1,J207="PY"),G207*(N207-M207)/N207,0)</f>
        <v/>
      </c>
      <c r="S207" s="21">
        <f>IF(COUNTA(A207:G207)=0,"",IF(OR(A207="",B207="",NOT(ISNUMBER(C207))),"Fill market, product and year",IF(COUNTIF(Control!$B$11:$B$13,B207)=0,"Unknown product",IF(COUNTIFS(Dat_A,A207,Dat_B,B207,Dat_C,C207)&gt;1,"Duplicate market/product/year",IF(OR(NOT(ISNUMBER(D207)),NOT(ISNUMBER(E207))),"Add launch date and Data through date",IF(E207&lt;D207,"Data through is before launch",IF(OR(NOT(ISNUMBER(F207)),NOT(ISNUMBER(G207))),"Add units and revenue","OK")))))))</f>
        <v/>
      </c>
    </row>
    <row r="208">
      <c r="A208" s="17" t="n"/>
      <c r="B208" s="17" t="n"/>
      <c r="C208" s="17" t="n"/>
      <c r="D208" s="18" t="n"/>
      <c r="E208" s="18" t="n"/>
      <c r="F208" s="19" t="n"/>
      <c r="G208" s="20" t="n"/>
      <c r="H208" s="21">
        <f>IF(AND(ISNUMBER(D208),ISNUMBER(E208)),E208-D208+1,"")</f>
        <v/>
      </c>
      <c r="I208" s="22">
        <f>IF(AND(ISNUMBER(F208),N(F208)&gt;0,ISNUMBER(G208)),G208/F208,"")</f>
        <v/>
      </c>
      <c r="J208" s="21">
        <f>IF(OR(A208="",B208=""),"",IF(C208=Yr_Cur,"CY",IF(C208=Yr_Prev,"PY","")))</f>
        <v/>
      </c>
      <c r="K208" s="21">
        <f>IF(J208="","",IF(J208="CY",SUMIFS(Dat_H,Dat_A,A208,Dat_B,B208,Dat_C,Yr_Prev),SUMIFS(Dat_H,Dat_A,A208,Dat_B,B208,Dat_C,Yr_Cur)))</f>
        <v/>
      </c>
      <c r="L208" s="21">
        <f>IF(J208="",0,IF(AND(ISNUMBER(H208),N(K208)&gt;0,ISNUMBER(F208),ISNUMBER(G208),OR(Sel_Market="All markets",A208=Sel_Market),COUNTIFS(Control!$B$11:$B$13,B208,Control!$C$11:$C$13,"Yes")&gt;0),1,0))</f>
        <v/>
      </c>
      <c r="M208" s="21">
        <f>IF(L208=1,IF(J208="CY",H208,K208),"")</f>
        <v/>
      </c>
      <c r="N208" s="21">
        <f>IF(L208=1,IF(J208="PY",H208,K208),"")</f>
        <v/>
      </c>
      <c r="O208" s="23">
        <f>IF(L208=1,IF(J208="PY",F208*M208/N208,F208),0)</f>
        <v/>
      </c>
      <c r="P208" s="23">
        <f>IF(L208=1,IF(J208="PY",G208*M208/N208,G208),0)</f>
        <v/>
      </c>
      <c r="Q208" s="23">
        <f>IF(AND(L208=1,J208="PY"),F208*(N208-M208)/N208,0)</f>
        <v/>
      </c>
      <c r="R208" s="23">
        <f>IF(AND(L208=1,J208="PY"),G208*(N208-M208)/N208,0)</f>
        <v/>
      </c>
      <c r="S208" s="21">
        <f>IF(COUNTA(A208:G208)=0,"",IF(OR(A208="",B208="",NOT(ISNUMBER(C208))),"Fill market, product and year",IF(COUNTIF(Control!$B$11:$B$13,B208)=0,"Unknown product",IF(COUNTIFS(Dat_A,A208,Dat_B,B208,Dat_C,C208)&gt;1,"Duplicate market/product/year",IF(OR(NOT(ISNUMBER(D208)),NOT(ISNUMBER(E208))),"Add launch date and Data through date",IF(E208&lt;D208,"Data through is before launch",IF(OR(NOT(ISNUMBER(F208)),NOT(ISNUMBER(G208))),"Add units and revenue","OK")))))))</f>
        <v/>
      </c>
    </row>
    <row r="209">
      <c r="A209" s="17" t="n"/>
      <c r="B209" s="17" t="n"/>
      <c r="C209" s="17" t="n"/>
      <c r="D209" s="18" t="n"/>
      <c r="E209" s="18" t="n"/>
      <c r="F209" s="19" t="n"/>
      <c r="G209" s="20" t="n"/>
      <c r="H209" s="21">
        <f>IF(AND(ISNUMBER(D209),ISNUMBER(E209)),E209-D209+1,"")</f>
        <v/>
      </c>
      <c r="I209" s="22">
        <f>IF(AND(ISNUMBER(F209),N(F209)&gt;0,ISNUMBER(G209)),G209/F209,"")</f>
        <v/>
      </c>
      <c r="J209" s="21">
        <f>IF(OR(A209="",B209=""),"",IF(C209=Yr_Cur,"CY",IF(C209=Yr_Prev,"PY","")))</f>
        <v/>
      </c>
      <c r="K209" s="21">
        <f>IF(J209="","",IF(J209="CY",SUMIFS(Dat_H,Dat_A,A209,Dat_B,B209,Dat_C,Yr_Prev),SUMIFS(Dat_H,Dat_A,A209,Dat_B,B209,Dat_C,Yr_Cur)))</f>
        <v/>
      </c>
      <c r="L209" s="21">
        <f>IF(J209="",0,IF(AND(ISNUMBER(H209),N(K209)&gt;0,ISNUMBER(F209),ISNUMBER(G209),OR(Sel_Market="All markets",A209=Sel_Market),COUNTIFS(Control!$B$11:$B$13,B209,Control!$C$11:$C$13,"Yes")&gt;0),1,0))</f>
        <v/>
      </c>
      <c r="M209" s="21">
        <f>IF(L209=1,IF(J209="CY",H209,K209),"")</f>
        <v/>
      </c>
      <c r="N209" s="21">
        <f>IF(L209=1,IF(J209="PY",H209,K209),"")</f>
        <v/>
      </c>
      <c r="O209" s="23">
        <f>IF(L209=1,IF(J209="PY",F209*M209/N209,F209),0)</f>
        <v/>
      </c>
      <c r="P209" s="23">
        <f>IF(L209=1,IF(J209="PY",G209*M209/N209,G209),0)</f>
        <v/>
      </c>
      <c r="Q209" s="23">
        <f>IF(AND(L209=1,J209="PY"),F209*(N209-M209)/N209,0)</f>
        <v/>
      </c>
      <c r="R209" s="23">
        <f>IF(AND(L209=1,J209="PY"),G209*(N209-M209)/N209,0)</f>
        <v/>
      </c>
      <c r="S209" s="21">
        <f>IF(COUNTA(A209:G209)=0,"",IF(OR(A209="",B209="",NOT(ISNUMBER(C209))),"Fill market, product and year",IF(COUNTIF(Control!$B$11:$B$13,B209)=0,"Unknown product",IF(COUNTIFS(Dat_A,A209,Dat_B,B209,Dat_C,C209)&gt;1,"Duplicate market/product/year",IF(OR(NOT(ISNUMBER(D209)),NOT(ISNUMBER(E209))),"Add launch date and Data through date",IF(E209&lt;D209,"Data through is before launch",IF(OR(NOT(ISNUMBER(F209)),NOT(ISNUMBER(G209))),"Add units and revenue","OK")))))))</f>
        <v/>
      </c>
    </row>
    <row r="210">
      <c r="A210" s="17" t="n"/>
      <c r="B210" s="17" t="n"/>
      <c r="C210" s="17" t="n"/>
      <c r="D210" s="18" t="n"/>
      <c r="E210" s="18" t="n"/>
      <c r="F210" s="19" t="n"/>
      <c r="G210" s="20" t="n"/>
      <c r="H210" s="21">
        <f>IF(AND(ISNUMBER(D210),ISNUMBER(E210)),E210-D210+1,"")</f>
        <v/>
      </c>
      <c r="I210" s="22">
        <f>IF(AND(ISNUMBER(F210),N(F210)&gt;0,ISNUMBER(G210)),G210/F210,"")</f>
        <v/>
      </c>
      <c r="J210" s="21">
        <f>IF(OR(A210="",B210=""),"",IF(C210=Yr_Cur,"CY",IF(C210=Yr_Prev,"PY","")))</f>
        <v/>
      </c>
      <c r="K210" s="21">
        <f>IF(J210="","",IF(J210="CY",SUMIFS(Dat_H,Dat_A,A210,Dat_B,B210,Dat_C,Yr_Prev),SUMIFS(Dat_H,Dat_A,A210,Dat_B,B210,Dat_C,Yr_Cur)))</f>
        <v/>
      </c>
      <c r="L210" s="21">
        <f>IF(J210="",0,IF(AND(ISNUMBER(H210),N(K210)&gt;0,ISNUMBER(F210),ISNUMBER(G210),OR(Sel_Market="All markets",A210=Sel_Market),COUNTIFS(Control!$B$11:$B$13,B210,Control!$C$11:$C$13,"Yes")&gt;0),1,0))</f>
        <v/>
      </c>
      <c r="M210" s="21">
        <f>IF(L210=1,IF(J210="CY",H210,K210),"")</f>
        <v/>
      </c>
      <c r="N210" s="21">
        <f>IF(L210=1,IF(J210="PY",H210,K210),"")</f>
        <v/>
      </c>
      <c r="O210" s="23">
        <f>IF(L210=1,IF(J210="PY",F210*M210/N210,F210),0)</f>
        <v/>
      </c>
      <c r="P210" s="23">
        <f>IF(L210=1,IF(J210="PY",G210*M210/N210,G210),0)</f>
        <v/>
      </c>
      <c r="Q210" s="23">
        <f>IF(AND(L210=1,J210="PY"),F210*(N210-M210)/N210,0)</f>
        <v/>
      </c>
      <c r="R210" s="23">
        <f>IF(AND(L210=1,J210="PY"),G210*(N210-M210)/N210,0)</f>
        <v/>
      </c>
      <c r="S210" s="21">
        <f>IF(COUNTA(A210:G210)=0,"",IF(OR(A210="",B210="",NOT(ISNUMBER(C210))),"Fill market, product and year",IF(COUNTIF(Control!$B$11:$B$13,B210)=0,"Unknown product",IF(COUNTIFS(Dat_A,A210,Dat_B,B210,Dat_C,C210)&gt;1,"Duplicate market/product/year",IF(OR(NOT(ISNUMBER(D210)),NOT(ISNUMBER(E210))),"Add launch date and Data through date",IF(E210&lt;D210,"Data through is before launch",IF(OR(NOT(ISNUMBER(F210)),NOT(ISNUMBER(G210))),"Add units and revenue","OK")))))))</f>
        <v/>
      </c>
    </row>
    <row r="211">
      <c r="A211" s="17" t="n"/>
      <c r="B211" s="17" t="n"/>
      <c r="C211" s="17" t="n"/>
      <c r="D211" s="18" t="n"/>
      <c r="E211" s="18" t="n"/>
      <c r="F211" s="19" t="n"/>
      <c r="G211" s="20" t="n"/>
      <c r="H211" s="21">
        <f>IF(AND(ISNUMBER(D211),ISNUMBER(E211)),E211-D211+1,"")</f>
        <v/>
      </c>
      <c r="I211" s="22">
        <f>IF(AND(ISNUMBER(F211),N(F211)&gt;0,ISNUMBER(G211)),G211/F211,"")</f>
        <v/>
      </c>
      <c r="J211" s="21">
        <f>IF(OR(A211="",B211=""),"",IF(C211=Yr_Cur,"CY",IF(C211=Yr_Prev,"PY","")))</f>
        <v/>
      </c>
      <c r="K211" s="21">
        <f>IF(J211="","",IF(J211="CY",SUMIFS(Dat_H,Dat_A,A211,Dat_B,B211,Dat_C,Yr_Prev),SUMIFS(Dat_H,Dat_A,A211,Dat_B,B211,Dat_C,Yr_Cur)))</f>
        <v/>
      </c>
      <c r="L211" s="21">
        <f>IF(J211="",0,IF(AND(ISNUMBER(H211),N(K211)&gt;0,ISNUMBER(F211),ISNUMBER(G211),OR(Sel_Market="All markets",A211=Sel_Market),COUNTIFS(Control!$B$11:$B$13,B211,Control!$C$11:$C$13,"Yes")&gt;0),1,0))</f>
        <v/>
      </c>
      <c r="M211" s="21">
        <f>IF(L211=1,IF(J211="CY",H211,K211),"")</f>
        <v/>
      </c>
      <c r="N211" s="21">
        <f>IF(L211=1,IF(J211="PY",H211,K211),"")</f>
        <v/>
      </c>
      <c r="O211" s="23">
        <f>IF(L211=1,IF(J211="PY",F211*M211/N211,F211),0)</f>
        <v/>
      </c>
      <c r="P211" s="23">
        <f>IF(L211=1,IF(J211="PY",G211*M211/N211,G211),0)</f>
        <v/>
      </c>
      <c r="Q211" s="23">
        <f>IF(AND(L211=1,J211="PY"),F211*(N211-M211)/N211,0)</f>
        <v/>
      </c>
      <c r="R211" s="23">
        <f>IF(AND(L211=1,J211="PY"),G211*(N211-M211)/N211,0)</f>
        <v/>
      </c>
      <c r="S211" s="21">
        <f>IF(COUNTA(A211:G211)=0,"",IF(OR(A211="",B211="",NOT(ISNUMBER(C211))),"Fill market, product and year",IF(COUNTIF(Control!$B$11:$B$13,B211)=0,"Unknown product",IF(COUNTIFS(Dat_A,A211,Dat_B,B211,Dat_C,C211)&gt;1,"Duplicate market/product/year",IF(OR(NOT(ISNUMBER(D211)),NOT(ISNUMBER(E211))),"Add launch date and Data through date",IF(E211&lt;D211,"Data through is before launch",IF(OR(NOT(ISNUMBER(F211)),NOT(ISNUMBER(G211))),"Add units and revenue","OK")))))))</f>
        <v/>
      </c>
    </row>
    <row r="212">
      <c r="A212" s="17" t="n"/>
      <c r="B212" s="17" t="n"/>
      <c r="C212" s="17" t="n"/>
      <c r="D212" s="18" t="n"/>
      <c r="E212" s="18" t="n"/>
      <c r="F212" s="19" t="n"/>
      <c r="G212" s="20" t="n"/>
      <c r="H212" s="21">
        <f>IF(AND(ISNUMBER(D212),ISNUMBER(E212)),E212-D212+1,"")</f>
        <v/>
      </c>
      <c r="I212" s="22">
        <f>IF(AND(ISNUMBER(F212),N(F212)&gt;0,ISNUMBER(G212)),G212/F212,"")</f>
        <v/>
      </c>
      <c r="J212" s="21">
        <f>IF(OR(A212="",B212=""),"",IF(C212=Yr_Cur,"CY",IF(C212=Yr_Prev,"PY","")))</f>
        <v/>
      </c>
      <c r="K212" s="21">
        <f>IF(J212="","",IF(J212="CY",SUMIFS(Dat_H,Dat_A,A212,Dat_B,B212,Dat_C,Yr_Prev),SUMIFS(Dat_H,Dat_A,A212,Dat_B,B212,Dat_C,Yr_Cur)))</f>
        <v/>
      </c>
      <c r="L212" s="21">
        <f>IF(J212="",0,IF(AND(ISNUMBER(H212),N(K212)&gt;0,ISNUMBER(F212),ISNUMBER(G212),OR(Sel_Market="All markets",A212=Sel_Market),COUNTIFS(Control!$B$11:$B$13,B212,Control!$C$11:$C$13,"Yes")&gt;0),1,0))</f>
        <v/>
      </c>
      <c r="M212" s="21">
        <f>IF(L212=1,IF(J212="CY",H212,K212),"")</f>
        <v/>
      </c>
      <c r="N212" s="21">
        <f>IF(L212=1,IF(J212="PY",H212,K212),"")</f>
        <v/>
      </c>
      <c r="O212" s="23">
        <f>IF(L212=1,IF(J212="PY",F212*M212/N212,F212),0)</f>
        <v/>
      </c>
      <c r="P212" s="23">
        <f>IF(L212=1,IF(J212="PY",G212*M212/N212,G212),0)</f>
        <v/>
      </c>
      <c r="Q212" s="23">
        <f>IF(AND(L212=1,J212="PY"),F212*(N212-M212)/N212,0)</f>
        <v/>
      </c>
      <c r="R212" s="23">
        <f>IF(AND(L212=1,J212="PY"),G212*(N212-M212)/N212,0)</f>
        <v/>
      </c>
      <c r="S212" s="21">
        <f>IF(COUNTA(A212:G212)=0,"",IF(OR(A212="",B212="",NOT(ISNUMBER(C212))),"Fill market, product and year",IF(COUNTIF(Control!$B$11:$B$13,B212)=0,"Unknown product",IF(COUNTIFS(Dat_A,A212,Dat_B,B212,Dat_C,C212)&gt;1,"Duplicate market/product/year",IF(OR(NOT(ISNUMBER(D212)),NOT(ISNUMBER(E212))),"Add launch date and Data through date",IF(E212&lt;D212,"Data through is before launch",IF(OR(NOT(ISNUMBER(F212)),NOT(ISNUMBER(G212))),"Add units and revenue","OK")))))))</f>
        <v/>
      </c>
    </row>
    <row r="213">
      <c r="A213" s="17" t="n"/>
      <c r="B213" s="17" t="n"/>
      <c r="C213" s="17" t="n"/>
      <c r="D213" s="18" t="n"/>
      <c r="E213" s="18" t="n"/>
      <c r="F213" s="19" t="n"/>
      <c r="G213" s="20" t="n"/>
      <c r="H213" s="21">
        <f>IF(AND(ISNUMBER(D213),ISNUMBER(E213)),E213-D213+1,"")</f>
        <v/>
      </c>
      <c r="I213" s="22">
        <f>IF(AND(ISNUMBER(F213),N(F213)&gt;0,ISNUMBER(G213)),G213/F213,"")</f>
        <v/>
      </c>
      <c r="J213" s="21">
        <f>IF(OR(A213="",B213=""),"",IF(C213=Yr_Cur,"CY",IF(C213=Yr_Prev,"PY","")))</f>
        <v/>
      </c>
      <c r="K213" s="21">
        <f>IF(J213="","",IF(J213="CY",SUMIFS(Dat_H,Dat_A,A213,Dat_B,B213,Dat_C,Yr_Prev),SUMIFS(Dat_H,Dat_A,A213,Dat_B,B213,Dat_C,Yr_Cur)))</f>
        <v/>
      </c>
      <c r="L213" s="21">
        <f>IF(J213="",0,IF(AND(ISNUMBER(H213),N(K213)&gt;0,ISNUMBER(F213),ISNUMBER(G213),OR(Sel_Market="All markets",A213=Sel_Market),COUNTIFS(Control!$B$11:$B$13,B213,Control!$C$11:$C$13,"Yes")&gt;0),1,0))</f>
        <v/>
      </c>
      <c r="M213" s="21">
        <f>IF(L213=1,IF(J213="CY",H213,K213),"")</f>
        <v/>
      </c>
      <c r="N213" s="21">
        <f>IF(L213=1,IF(J213="PY",H213,K213),"")</f>
        <v/>
      </c>
      <c r="O213" s="23">
        <f>IF(L213=1,IF(J213="PY",F213*M213/N213,F213),0)</f>
        <v/>
      </c>
      <c r="P213" s="23">
        <f>IF(L213=1,IF(J213="PY",G213*M213/N213,G213),0)</f>
        <v/>
      </c>
      <c r="Q213" s="23">
        <f>IF(AND(L213=1,J213="PY"),F213*(N213-M213)/N213,0)</f>
        <v/>
      </c>
      <c r="R213" s="23">
        <f>IF(AND(L213=1,J213="PY"),G213*(N213-M213)/N213,0)</f>
        <v/>
      </c>
      <c r="S213" s="21">
        <f>IF(COUNTA(A213:G213)=0,"",IF(OR(A213="",B213="",NOT(ISNUMBER(C213))),"Fill market, product and year",IF(COUNTIF(Control!$B$11:$B$13,B213)=0,"Unknown product",IF(COUNTIFS(Dat_A,A213,Dat_B,B213,Dat_C,C213)&gt;1,"Duplicate market/product/year",IF(OR(NOT(ISNUMBER(D213)),NOT(ISNUMBER(E213))),"Add launch date and Data through date",IF(E213&lt;D213,"Data through is before launch",IF(OR(NOT(ISNUMBER(F213)),NOT(ISNUMBER(G213))),"Add units and revenue","OK")))))))</f>
        <v/>
      </c>
    </row>
    <row r="214">
      <c r="A214" s="17" t="n"/>
      <c r="B214" s="17" t="n"/>
      <c r="C214" s="17" t="n"/>
      <c r="D214" s="18" t="n"/>
      <c r="E214" s="18" t="n"/>
      <c r="F214" s="19" t="n"/>
      <c r="G214" s="20" t="n"/>
      <c r="H214" s="21">
        <f>IF(AND(ISNUMBER(D214),ISNUMBER(E214)),E214-D214+1,"")</f>
        <v/>
      </c>
      <c r="I214" s="22">
        <f>IF(AND(ISNUMBER(F214),N(F214)&gt;0,ISNUMBER(G214)),G214/F214,"")</f>
        <v/>
      </c>
      <c r="J214" s="21">
        <f>IF(OR(A214="",B214=""),"",IF(C214=Yr_Cur,"CY",IF(C214=Yr_Prev,"PY","")))</f>
        <v/>
      </c>
      <c r="K214" s="21">
        <f>IF(J214="","",IF(J214="CY",SUMIFS(Dat_H,Dat_A,A214,Dat_B,B214,Dat_C,Yr_Prev),SUMIFS(Dat_H,Dat_A,A214,Dat_B,B214,Dat_C,Yr_Cur)))</f>
        <v/>
      </c>
      <c r="L214" s="21">
        <f>IF(J214="",0,IF(AND(ISNUMBER(H214),N(K214)&gt;0,ISNUMBER(F214),ISNUMBER(G214),OR(Sel_Market="All markets",A214=Sel_Market),COUNTIFS(Control!$B$11:$B$13,B214,Control!$C$11:$C$13,"Yes")&gt;0),1,0))</f>
        <v/>
      </c>
      <c r="M214" s="21">
        <f>IF(L214=1,IF(J214="CY",H214,K214),"")</f>
        <v/>
      </c>
      <c r="N214" s="21">
        <f>IF(L214=1,IF(J214="PY",H214,K214),"")</f>
        <v/>
      </c>
      <c r="O214" s="23">
        <f>IF(L214=1,IF(J214="PY",F214*M214/N214,F214),0)</f>
        <v/>
      </c>
      <c r="P214" s="23">
        <f>IF(L214=1,IF(J214="PY",G214*M214/N214,G214),0)</f>
        <v/>
      </c>
      <c r="Q214" s="23">
        <f>IF(AND(L214=1,J214="PY"),F214*(N214-M214)/N214,0)</f>
        <v/>
      </c>
      <c r="R214" s="23">
        <f>IF(AND(L214=1,J214="PY"),G214*(N214-M214)/N214,0)</f>
        <v/>
      </c>
      <c r="S214" s="21">
        <f>IF(COUNTA(A214:G214)=0,"",IF(OR(A214="",B214="",NOT(ISNUMBER(C214))),"Fill market, product and year",IF(COUNTIF(Control!$B$11:$B$13,B214)=0,"Unknown product",IF(COUNTIFS(Dat_A,A214,Dat_B,B214,Dat_C,C214)&gt;1,"Duplicate market/product/year",IF(OR(NOT(ISNUMBER(D214)),NOT(ISNUMBER(E214))),"Add launch date and Data through date",IF(E214&lt;D214,"Data through is before launch",IF(OR(NOT(ISNUMBER(F214)),NOT(ISNUMBER(G214))),"Add units and revenue","OK")))))))</f>
        <v/>
      </c>
    </row>
    <row r="215">
      <c r="A215" s="17" t="n"/>
      <c r="B215" s="17" t="n"/>
      <c r="C215" s="17" t="n"/>
      <c r="D215" s="18" t="n"/>
      <c r="E215" s="18" t="n"/>
      <c r="F215" s="19" t="n"/>
      <c r="G215" s="20" t="n"/>
      <c r="H215" s="21">
        <f>IF(AND(ISNUMBER(D215),ISNUMBER(E215)),E215-D215+1,"")</f>
        <v/>
      </c>
      <c r="I215" s="22">
        <f>IF(AND(ISNUMBER(F215),N(F215)&gt;0,ISNUMBER(G215)),G215/F215,"")</f>
        <v/>
      </c>
      <c r="J215" s="21">
        <f>IF(OR(A215="",B215=""),"",IF(C215=Yr_Cur,"CY",IF(C215=Yr_Prev,"PY","")))</f>
        <v/>
      </c>
      <c r="K215" s="21">
        <f>IF(J215="","",IF(J215="CY",SUMIFS(Dat_H,Dat_A,A215,Dat_B,B215,Dat_C,Yr_Prev),SUMIFS(Dat_H,Dat_A,A215,Dat_B,B215,Dat_C,Yr_Cur)))</f>
        <v/>
      </c>
      <c r="L215" s="21">
        <f>IF(J215="",0,IF(AND(ISNUMBER(H215),N(K215)&gt;0,ISNUMBER(F215),ISNUMBER(G215),OR(Sel_Market="All markets",A215=Sel_Market),COUNTIFS(Control!$B$11:$B$13,B215,Control!$C$11:$C$13,"Yes")&gt;0),1,0))</f>
        <v/>
      </c>
      <c r="M215" s="21">
        <f>IF(L215=1,IF(J215="CY",H215,K215),"")</f>
        <v/>
      </c>
      <c r="N215" s="21">
        <f>IF(L215=1,IF(J215="PY",H215,K215),"")</f>
        <v/>
      </c>
      <c r="O215" s="23">
        <f>IF(L215=1,IF(J215="PY",F215*M215/N215,F215),0)</f>
        <v/>
      </c>
      <c r="P215" s="23">
        <f>IF(L215=1,IF(J215="PY",G215*M215/N215,G215),0)</f>
        <v/>
      </c>
      <c r="Q215" s="23">
        <f>IF(AND(L215=1,J215="PY"),F215*(N215-M215)/N215,0)</f>
        <v/>
      </c>
      <c r="R215" s="23">
        <f>IF(AND(L215=1,J215="PY"),G215*(N215-M215)/N215,0)</f>
        <v/>
      </c>
      <c r="S215" s="21">
        <f>IF(COUNTA(A215:G215)=0,"",IF(OR(A215="",B215="",NOT(ISNUMBER(C215))),"Fill market, product and year",IF(COUNTIF(Control!$B$11:$B$13,B215)=0,"Unknown product",IF(COUNTIFS(Dat_A,A215,Dat_B,B215,Dat_C,C215)&gt;1,"Duplicate market/product/year",IF(OR(NOT(ISNUMBER(D215)),NOT(ISNUMBER(E215))),"Add launch date and Data through date",IF(E215&lt;D215,"Data through is before launch",IF(OR(NOT(ISNUMBER(F215)),NOT(ISNUMBER(G215))),"Add units and revenue","OK")))))))</f>
        <v/>
      </c>
    </row>
    <row r="216">
      <c r="A216" s="17" t="n"/>
      <c r="B216" s="17" t="n"/>
      <c r="C216" s="17" t="n"/>
      <c r="D216" s="18" t="n"/>
      <c r="E216" s="18" t="n"/>
      <c r="F216" s="19" t="n"/>
      <c r="G216" s="20" t="n"/>
      <c r="H216" s="21">
        <f>IF(AND(ISNUMBER(D216),ISNUMBER(E216)),E216-D216+1,"")</f>
        <v/>
      </c>
      <c r="I216" s="22">
        <f>IF(AND(ISNUMBER(F216),N(F216)&gt;0,ISNUMBER(G216)),G216/F216,"")</f>
        <v/>
      </c>
      <c r="J216" s="21">
        <f>IF(OR(A216="",B216=""),"",IF(C216=Yr_Cur,"CY",IF(C216=Yr_Prev,"PY","")))</f>
        <v/>
      </c>
      <c r="K216" s="21">
        <f>IF(J216="","",IF(J216="CY",SUMIFS(Dat_H,Dat_A,A216,Dat_B,B216,Dat_C,Yr_Prev),SUMIFS(Dat_H,Dat_A,A216,Dat_B,B216,Dat_C,Yr_Cur)))</f>
        <v/>
      </c>
      <c r="L216" s="21">
        <f>IF(J216="",0,IF(AND(ISNUMBER(H216),N(K216)&gt;0,ISNUMBER(F216),ISNUMBER(G216),OR(Sel_Market="All markets",A216=Sel_Market),COUNTIFS(Control!$B$11:$B$13,B216,Control!$C$11:$C$13,"Yes")&gt;0),1,0))</f>
        <v/>
      </c>
      <c r="M216" s="21">
        <f>IF(L216=1,IF(J216="CY",H216,K216),"")</f>
        <v/>
      </c>
      <c r="N216" s="21">
        <f>IF(L216=1,IF(J216="PY",H216,K216),"")</f>
        <v/>
      </c>
      <c r="O216" s="23">
        <f>IF(L216=1,IF(J216="PY",F216*M216/N216,F216),0)</f>
        <v/>
      </c>
      <c r="P216" s="23">
        <f>IF(L216=1,IF(J216="PY",G216*M216/N216,G216),0)</f>
        <v/>
      </c>
      <c r="Q216" s="23">
        <f>IF(AND(L216=1,J216="PY"),F216*(N216-M216)/N216,0)</f>
        <v/>
      </c>
      <c r="R216" s="23">
        <f>IF(AND(L216=1,J216="PY"),G216*(N216-M216)/N216,0)</f>
        <v/>
      </c>
      <c r="S216" s="21">
        <f>IF(COUNTA(A216:G216)=0,"",IF(OR(A216="",B216="",NOT(ISNUMBER(C216))),"Fill market, product and year",IF(COUNTIF(Control!$B$11:$B$13,B216)=0,"Unknown product",IF(COUNTIFS(Dat_A,A216,Dat_B,B216,Dat_C,C216)&gt;1,"Duplicate market/product/year",IF(OR(NOT(ISNUMBER(D216)),NOT(ISNUMBER(E216))),"Add launch date and Data through date",IF(E216&lt;D216,"Data through is before launch",IF(OR(NOT(ISNUMBER(F216)),NOT(ISNUMBER(G216))),"Add units and revenue","OK")))))))</f>
        <v/>
      </c>
    </row>
    <row r="217">
      <c r="A217" s="17" t="n"/>
      <c r="B217" s="17" t="n"/>
      <c r="C217" s="17" t="n"/>
      <c r="D217" s="18" t="n"/>
      <c r="E217" s="18" t="n"/>
      <c r="F217" s="19" t="n"/>
      <c r="G217" s="20" t="n"/>
      <c r="H217" s="21">
        <f>IF(AND(ISNUMBER(D217),ISNUMBER(E217)),E217-D217+1,"")</f>
        <v/>
      </c>
      <c r="I217" s="22">
        <f>IF(AND(ISNUMBER(F217),N(F217)&gt;0,ISNUMBER(G217)),G217/F217,"")</f>
        <v/>
      </c>
      <c r="J217" s="21">
        <f>IF(OR(A217="",B217=""),"",IF(C217=Yr_Cur,"CY",IF(C217=Yr_Prev,"PY","")))</f>
        <v/>
      </c>
      <c r="K217" s="21">
        <f>IF(J217="","",IF(J217="CY",SUMIFS(Dat_H,Dat_A,A217,Dat_B,B217,Dat_C,Yr_Prev),SUMIFS(Dat_H,Dat_A,A217,Dat_B,B217,Dat_C,Yr_Cur)))</f>
        <v/>
      </c>
      <c r="L217" s="21">
        <f>IF(J217="",0,IF(AND(ISNUMBER(H217),N(K217)&gt;0,ISNUMBER(F217),ISNUMBER(G217),OR(Sel_Market="All markets",A217=Sel_Market),COUNTIFS(Control!$B$11:$B$13,B217,Control!$C$11:$C$13,"Yes")&gt;0),1,0))</f>
        <v/>
      </c>
      <c r="M217" s="21">
        <f>IF(L217=1,IF(J217="CY",H217,K217),"")</f>
        <v/>
      </c>
      <c r="N217" s="21">
        <f>IF(L217=1,IF(J217="PY",H217,K217),"")</f>
        <v/>
      </c>
      <c r="O217" s="23">
        <f>IF(L217=1,IF(J217="PY",F217*M217/N217,F217),0)</f>
        <v/>
      </c>
      <c r="P217" s="23">
        <f>IF(L217=1,IF(J217="PY",G217*M217/N217,G217),0)</f>
        <v/>
      </c>
      <c r="Q217" s="23">
        <f>IF(AND(L217=1,J217="PY"),F217*(N217-M217)/N217,0)</f>
        <v/>
      </c>
      <c r="R217" s="23">
        <f>IF(AND(L217=1,J217="PY"),G217*(N217-M217)/N217,0)</f>
        <v/>
      </c>
      <c r="S217" s="21">
        <f>IF(COUNTA(A217:G217)=0,"",IF(OR(A217="",B217="",NOT(ISNUMBER(C217))),"Fill market, product and year",IF(COUNTIF(Control!$B$11:$B$13,B217)=0,"Unknown product",IF(COUNTIFS(Dat_A,A217,Dat_B,B217,Dat_C,C217)&gt;1,"Duplicate market/product/year",IF(OR(NOT(ISNUMBER(D217)),NOT(ISNUMBER(E217))),"Add launch date and Data through date",IF(E217&lt;D217,"Data through is before launch",IF(OR(NOT(ISNUMBER(F217)),NOT(ISNUMBER(G217))),"Add units and revenue","OK")))))))</f>
        <v/>
      </c>
    </row>
    <row r="218">
      <c r="A218" s="17" t="n"/>
      <c r="B218" s="17" t="n"/>
      <c r="C218" s="17" t="n"/>
      <c r="D218" s="18" t="n"/>
      <c r="E218" s="18" t="n"/>
      <c r="F218" s="19" t="n"/>
      <c r="G218" s="20" t="n"/>
      <c r="H218" s="21">
        <f>IF(AND(ISNUMBER(D218),ISNUMBER(E218)),E218-D218+1,"")</f>
        <v/>
      </c>
      <c r="I218" s="22">
        <f>IF(AND(ISNUMBER(F218),N(F218)&gt;0,ISNUMBER(G218)),G218/F218,"")</f>
        <v/>
      </c>
      <c r="J218" s="21">
        <f>IF(OR(A218="",B218=""),"",IF(C218=Yr_Cur,"CY",IF(C218=Yr_Prev,"PY","")))</f>
        <v/>
      </c>
      <c r="K218" s="21">
        <f>IF(J218="","",IF(J218="CY",SUMIFS(Dat_H,Dat_A,A218,Dat_B,B218,Dat_C,Yr_Prev),SUMIFS(Dat_H,Dat_A,A218,Dat_B,B218,Dat_C,Yr_Cur)))</f>
        <v/>
      </c>
      <c r="L218" s="21">
        <f>IF(J218="",0,IF(AND(ISNUMBER(H218),N(K218)&gt;0,ISNUMBER(F218),ISNUMBER(G218),OR(Sel_Market="All markets",A218=Sel_Market),COUNTIFS(Control!$B$11:$B$13,B218,Control!$C$11:$C$13,"Yes")&gt;0),1,0))</f>
        <v/>
      </c>
      <c r="M218" s="21">
        <f>IF(L218=1,IF(J218="CY",H218,K218),"")</f>
        <v/>
      </c>
      <c r="N218" s="21">
        <f>IF(L218=1,IF(J218="PY",H218,K218),"")</f>
        <v/>
      </c>
      <c r="O218" s="23">
        <f>IF(L218=1,IF(J218="PY",F218*M218/N218,F218),0)</f>
        <v/>
      </c>
      <c r="P218" s="23">
        <f>IF(L218=1,IF(J218="PY",G218*M218/N218,G218),0)</f>
        <v/>
      </c>
      <c r="Q218" s="23">
        <f>IF(AND(L218=1,J218="PY"),F218*(N218-M218)/N218,0)</f>
        <v/>
      </c>
      <c r="R218" s="23">
        <f>IF(AND(L218=1,J218="PY"),G218*(N218-M218)/N218,0)</f>
        <v/>
      </c>
      <c r="S218" s="21">
        <f>IF(COUNTA(A218:G218)=0,"",IF(OR(A218="",B218="",NOT(ISNUMBER(C218))),"Fill market, product and year",IF(COUNTIF(Control!$B$11:$B$13,B218)=0,"Unknown product",IF(COUNTIFS(Dat_A,A218,Dat_B,B218,Dat_C,C218)&gt;1,"Duplicate market/product/year",IF(OR(NOT(ISNUMBER(D218)),NOT(ISNUMBER(E218))),"Add launch date and Data through date",IF(E218&lt;D218,"Data through is before launch",IF(OR(NOT(ISNUMBER(F218)),NOT(ISNUMBER(G218))),"Add units and revenue","OK")))))))</f>
        <v/>
      </c>
    </row>
    <row r="219">
      <c r="A219" s="17" t="n"/>
      <c r="B219" s="17" t="n"/>
      <c r="C219" s="17" t="n"/>
      <c r="D219" s="18" t="n"/>
      <c r="E219" s="18" t="n"/>
      <c r="F219" s="19" t="n"/>
      <c r="G219" s="20" t="n"/>
      <c r="H219" s="21">
        <f>IF(AND(ISNUMBER(D219),ISNUMBER(E219)),E219-D219+1,"")</f>
        <v/>
      </c>
      <c r="I219" s="22">
        <f>IF(AND(ISNUMBER(F219),N(F219)&gt;0,ISNUMBER(G219)),G219/F219,"")</f>
        <v/>
      </c>
      <c r="J219" s="21">
        <f>IF(OR(A219="",B219=""),"",IF(C219=Yr_Cur,"CY",IF(C219=Yr_Prev,"PY","")))</f>
        <v/>
      </c>
      <c r="K219" s="21">
        <f>IF(J219="","",IF(J219="CY",SUMIFS(Dat_H,Dat_A,A219,Dat_B,B219,Dat_C,Yr_Prev),SUMIFS(Dat_H,Dat_A,A219,Dat_B,B219,Dat_C,Yr_Cur)))</f>
        <v/>
      </c>
      <c r="L219" s="21">
        <f>IF(J219="",0,IF(AND(ISNUMBER(H219),N(K219)&gt;0,ISNUMBER(F219),ISNUMBER(G219),OR(Sel_Market="All markets",A219=Sel_Market),COUNTIFS(Control!$B$11:$B$13,B219,Control!$C$11:$C$13,"Yes")&gt;0),1,0))</f>
        <v/>
      </c>
      <c r="M219" s="21">
        <f>IF(L219=1,IF(J219="CY",H219,K219),"")</f>
        <v/>
      </c>
      <c r="N219" s="21">
        <f>IF(L219=1,IF(J219="PY",H219,K219),"")</f>
        <v/>
      </c>
      <c r="O219" s="23">
        <f>IF(L219=1,IF(J219="PY",F219*M219/N219,F219),0)</f>
        <v/>
      </c>
      <c r="P219" s="23">
        <f>IF(L219=1,IF(J219="PY",G219*M219/N219,G219),0)</f>
        <v/>
      </c>
      <c r="Q219" s="23">
        <f>IF(AND(L219=1,J219="PY"),F219*(N219-M219)/N219,0)</f>
        <v/>
      </c>
      <c r="R219" s="23">
        <f>IF(AND(L219=1,J219="PY"),G219*(N219-M219)/N219,0)</f>
        <v/>
      </c>
      <c r="S219" s="21">
        <f>IF(COUNTA(A219:G219)=0,"",IF(OR(A219="",B219="",NOT(ISNUMBER(C219))),"Fill market, product and year",IF(COUNTIF(Control!$B$11:$B$13,B219)=0,"Unknown product",IF(COUNTIFS(Dat_A,A219,Dat_B,B219,Dat_C,C219)&gt;1,"Duplicate market/product/year",IF(OR(NOT(ISNUMBER(D219)),NOT(ISNUMBER(E219))),"Add launch date and Data through date",IF(E219&lt;D219,"Data through is before launch",IF(OR(NOT(ISNUMBER(F219)),NOT(ISNUMBER(G219))),"Add units and revenue","OK")))))))</f>
        <v/>
      </c>
    </row>
    <row r="220">
      <c r="A220" s="17" t="n"/>
      <c r="B220" s="17" t="n"/>
      <c r="C220" s="17" t="n"/>
      <c r="D220" s="18" t="n"/>
      <c r="E220" s="18" t="n"/>
      <c r="F220" s="19" t="n"/>
      <c r="G220" s="20" t="n"/>
      <c r="H220" s="21">
        <f>IF(AND(ISNUMBER(D220),ISNUMBER(E220)),E220-D220+1,"")</f>
        <v/>
      </c>
      <c r="I220" s="22">
        <f>IF(AND(ISNUMBER(F220),N(F220)&gt;0,ISNUMBER(G220)),G220/F220,"")</f>
        <v/>
      </c>
      <c r="J220" s="21">
        <f>IF(OR(A220="",B220=""),"",IF(C220=Yr_Cur,"CY",IF(C220=Yr_Prev,"PY","")))</f>
        <v/>
      </c>
      <c r="K220" s="21">
        <f>IF(J220="","",IF(J220="CY",SUMIFS(Dat_H,Dat_A,A220,Dat_B,B220,Dat_C,Yr_Prev),SUMIFS(Dat_H,Dat_A,A220,Dat_B,B220,Dat_C,Yr_Cur)))</f>
        <v/>
      </c>
      <c r="L220" s="21">
        <f>IF(J220="",0,IF(AND(ISNUMBER(H220),N(K220)&gt;0,ISNUMBER(F220),ISNUMBER(G220),OR(Sel_Market="All markets",A220=Sel_Market),COUNTIFS(Control!$B$11:$B$13,B220,Control!$C$11:$C$13,"Yes")&gt;0),1,0))</f>
        <v/>
      </c>
      <c r="M220" s="21">
        <f>IF(L220=1,IF(J220="CY",H220,K220),"")</f>
        <v/>
      </c>
      <c r="N220" s="21">
        <f>IF(L220=1,IF(J220="PY",H220,K220),"")</f>
        <v/>
      </c>
      <c r="O220" s="23">
        <f>IF(L220=1,IF(J220="PY",F220*M220/N220,F220),0)</f>
        <v/>
      </c>
      <c r="P220" s="23">
        <f>IF(L220=1,IF(J220="PY",G220*M220/N220,G220),0)</f>
        <v/>
      </c>
      <c r="Q220" s="23">
        <f>IF(AND(L220=1,J220="PY"),F220*(N220-M220)/N220,0)</f>
        <v/>
      </c>
      <c r="R220" s="23">
        <f>IF(AND(L220=1,J220="PY"),G220*(N220-M220)/N220,0)</f>
        <v/>
      </c>
      <c r="S220" s="21">
        <f>IF(COUNTA(A220:G220)=0,"",IF(OR(A220="",B220="",NOT(ISNUMBER(C220))),"Fill market, product and year",IF(COUNTIF(Control!$B$11:$B$13,B220)=0,"Unknown product",IF(COUNTIFS(Dat_A,A220,Dat_B,B220,Dat_C,C220)&gt;1,"Duplicate market/product/year",IF(OR(NOT(ISNUMBER(D220)),NOT(ISNUMBER(E220))),"Add launch date and Data through date",IF(E220&lt;D220,"Data through is before launch",IF(OR(NOT(ISNUMBER(F220)),NOT(ISNUMBER(G220))),"Add units and revenue","OK")))))))</f>
        <v/>
      </c>
    </row>
    <row r="221">
      <c r="A221" s="17" t="n"/>
      <c r="B221" s="17" t="n"/>
      <c r="C221" s="17" t="n"/>
      <c r="D221" s="18" t="n"/>
      <c r="E221" s="18" t="n"/>
      <c r="F221" s="19" t="n"/>
      <c r="G221" s="20" t="n"/>
      <c r="H221" s="21">
        <f>IF(AND(ISNUMBER(D221),ISNUMBER(E221)),E221-D221+1,"")</f>
        <v/>
      </c>
      <c r="I221" s="22">
        <f>IF(AND(ISNUMBER(F221),N(F221)&gt;0,ISNUMBER(G221)),G221/F221,"")</f>
        <v/>
      </c>
      <c r="J221" s="21">
        <f>IF(OR(A221="",B221=""),"",IF(C221=Yr_Cur,"CY",IF(C221=Yr_Prev,"PY","")))</f>
        <v/>
      </c>
      <c r="K221" s="21">
        <f>IF(J221="","",IF(J221="CY",SUMIFS(Dat_H,Dat_A,A221,Dat_B,B221,Dat_C,Yr_Prev),SUMIFS(Dat_H,Dat_A,A221,Dat_B,B221,Dat_C,Yr_Cur)))</f>
        <v/>
      </c>
      <c r="L221" s="21">
        <f>IF(J221="",0,IF(AND(ISNUMBER(H221),N(K221)&gt;0,ISNUMBER(F221),ISNUMBER(G221),OR(Sel_Market="All markets",A221=Sel_Market),COUNTIFS(Control!$B$11:$B$13,B221,Control!$C$11:$C$13,"Yes")&gt;0),1,0))</f>
        <v/>
      </c>
      <c r="M221" s="21">
        <f>IF(L221=1,IF(J221="CY",H221,K221),"")</f>
        <v/>
      </c>
      <c r="N221" s="21">
        <f>IF(L221=1,IF(J221="PY",H221,K221),"")</f>
        <v/>
      </c>
      <c r="O221" s="23">
        <f>IF(L221=1,IF(J221="PY",F221*M221/N221,F221),0)</f>
        <v/>
      </c>
      <c r="P221" s="23">
        <f>IF(L221=1,IF(J221="PY",G221*M221/N221,G221),0)</f>
        <v/>
      </c>
      <c r="Q221" s="23">
        <f>IF(AND(L221=1,J221="PY"),F221*(N221-M221)/N221,0)</f>
        <v/>
      </c>
      <c r="R221" s="23">
        <f>IF(AND(L221=1,J221="PY"),G221*(N221-M221)/N221,0)</f>
        <v/>
      </c>
      <c r="S221" s="21">
        <f>IF(COUNTA(A221:G221)=0,"",IF(OR(A221="",B221="",NOT(ISNUMBER(C221))),"Fill market, product and year",IF(COUNTIF(Control!$B$11:$B$13,B221)=0,"Unknown product",IF(COUNTIFS(Dat_A,A221,Dat_B,B221,Dat_C,C221)&gt;1,"Duplicate market/product/year",IF(OR(NOT(ISNUMBER(D221)),NOT(ISNUMBER(E221))),"Add launch date and Data through date",IF(E221&lt;D221,"Data through is before launch",IF(OR(NOT(ISNUMBER(F221)),NOT(ISNUMBER(G221))),"Add units and revenue","OK")))))))</f>
        <v/>
      </c>
    </row>
    <row r="222">
      <c r="A222" s="17" t="n"/>
      <c r="B222" s="17" t="n"/>
      <c r="C222" s="17" t="n"/>
      <c r="D222" s="18" t="n"/>
      <c r="E222" s="18" t="n"/>
      <c r="F222" s="19" t="n"/>
      <c r="G222" s="20" t="n"/>
      <c r="H222" s="21">
        <f>IF(AND(ISNUMBER(D222),ISNUMBER(E222)),E222-D222+1,"")</f>
        <v/>
      </c>
      <c r="I222" s="22">
        <f>IF(AND(ISNUMBER(F222),N(F222)&gt;0,ISNUMBER(G222)),G222/F222,"")</f>
        <v/>
      </c>
      <c r="J222" s="21">
        <f>IF(OR(A222="",B222=""),"",IF(C222=Yr_Cur,"CY",IF(C222=Yr_Prev,"PY","")))</f>
        <v/>
      </c>
      <c r="K222" s="21">
        <f>IF(J222="","",IF(J222="CY",SUMIFS(Dat_H,Dat_A,A222,Dat_B,B222,Dat_C,Yr_Prev),SUMIFS(Dat_H,Dat_A,A222,Dat_B,B222,Dat_C,Yr_Cur)))</f>
        <v/>
      </c>
      <c r="L222" s="21">
        <f>IF(J222="",0,IF(AND(ISNUMBER(H222),N(K222)&gt;0,ISNUMBER(F222),ISNUMBER(G222),OR(Sel_Market="All markets",A222=Sel_Market),COUNTIFS(Control!$B$11:$B$13,B222,Control!$C$11:$C$13,"Yes")&gt;0),1,0))</f>
        <v/>
      </c>
      <c r="M222" s="21">
        <f>IF(L222=1,IF(J222="CY",H222,K222),"")</f>
        <v/>
      </c>
      <c r="N222" s="21">
        <f>IF(L222=1,IF(J222="PY",H222,K222),"")</f>
        <v/>
      </c>
      <c r="O222" s="23">
        <f>IF(L222=1,IF(J222="PY",F222*M222/N222,F222),0)</f>
        <v/>
      </c>
      <c r="P222" s="23">
        <f>IF(L222=1,IF(J222="PY",G222*M222/N222,G222),0)</f>
        <v/>
      </c>
      <c r="Q222" s="23">
        <f>IF(AND(L222=1,J222="PY"),F222*(N222-M222)/N222,0)</f>
        <v/>
      </c>
      <c r="R222" s="23">
        <f>IF(AND(L222=1,J222="PY"),G222*(N222-M222)/N222,0)</f>
        <v/>
      </c>
      <c r="S222" s="21">
        <f>IF(COUNTA(A222:G222)=0,"",IF(OR(A222="",B222="",NOT(ISNUMBER(C222))),"Fill market, product and year",IF(COUNTIF(Control!$B$11:$B$13,B222)=0,"Unknown product",IF(COUNTIFS(Dat_A,A222,Dat_B,B222,Dat_C,C222)&gt;1,"Duplicate market/product/year",IF(OR(NOT(ISNUMBER(D222)),NOT(ISNUMBER(E222))),"Add launch date and Data through date",IF(E222&lt;D222,"Data through is before launch",IF(OR(NOT(ISNUMBER(F222)),NOT(ISNUMBER(G222))),"Add units and revenue","OK")))))))</f>
        <v/>
      </c>
    </row>
    <row r="223">
      <c r="A223" s="17" t="n"/>
      <c r="B223" s="17" t="n"/>
      <c r="C223" s="17" t="n"/>
      <c r="D223" s="18" t="n"/>
      <c r="E223" s="18" t="n"/>
      <c r="F223" s="19" t="n"/>
      <c r="G223" s="20" t="n"/>
      <c r="H223" s="21">
        <f>IF(AND(ISNUMBER(D223),ISNUMBER(E223)),E223-D223+1,"")</f>
        <v/>
      </c>
      <c r="I223" s="22">
        <f>IF(AND(ISNUMBER(F223),N(F223)&gt;0,ISNUMBER(G223)),G223/F223,"")</f>
        <v/>
      </c>
      <c r="J223" s="21">
        <f>IF(OR(A223="",B223=""),"",IF(C223=Yr_Cur,"CY",IF(C223=Yr_Prev,"PY","")))</f>
        <v/>
      </c>
      <c r="K223" s="21">
        <f>IF(J223="","",IF(J223="CY",SUMIFS(Dat_H,Dat_A,A223,Dat_B,B223,Dat_C,Yr_Prev),SUMIFS(Dat_H,Dat_A,A223,Dat_B,B223,Dat_C,Yr_Cur)))</f>
        <v/>
      </c>
      <c r="L223" s="21">
        <f>IF(J223="",0,IF(AND(ISNUMBER(H223),N(K223)&gt;0,ISNUMBER(F223),ISNUMBER(G223),OR(Sel_Market="All markets",A223=Sel_Market),COUNTIFS(Control!$B$11:$B$13,B223,Control!$C$11:$C$13,"Yes")&gt;0),1,0))</f>
        <v/>
      </c>
      <c r="M223" s="21">
        <f>IF(L223=1,IF(J223="CY",H223,K223),"")</f>
        <v/>
      </c>
      <c r="N223" s="21">
        <f>IF(L223=1,IF(J223="PY",H223,K223),"")</f>
        <v/>
      </c>
      <c r="O223" s="23">
        <f>IF(L223=1,IF(J223="PY",F223*M223/N223,F223),0)</f>
        <v/>
      </c>
      <c r="P223" s="23">
        <f>IF(L223=1,IF(J223="PY",G223*M223/N223,G223),0)</f>
        <v/>
      </c>
      <c r="Q223" s="23">
        <f>IF(AND(L223=1,J223="PY"),F223*(N223-M223)/N223,0)</f>
        <v/>
      </c>
      <c r="R223" s="23">
        <f>IF(AND(L223=1,J223="PY"),G223*(N223-M223)/N223,0)</f>
        <v/>
      </c>
      <c r="S223" s="21">
        <f>IF(COUNTA(A223:G223)=0,"",IF(OR(A223="",B223="",NOT(ISNUMBER(C223))),"Fill market, product and year",IF(COUNTIF(Control!$B$11:$B$13,B223)=0,"Unknown product",IF(COUNTIFS(Dat_A,A223,Dat_B,B223,Dat_C,C223)&gt;1,"Duplicate market/product/year",IF(OR(NOT(ISNUMBER(D223)),NOT(ISNUMBER(E223))),"Add launch date and Data through date",IF(E223&lt;D223,"Data through is before launch",IF(OR(NOT(ISNUMBER(F223)),NOT(ISNUMBER(G223))),"Add units and revenue","OK")))))))</f>
        <v/>
      </c>
    </row>
    <row r="224">
      <c r="A224" s="17" t="n"/>
      <c r="B224" s="17" t="n"/>
      <c r="C224" s="17" t="n"/>
      <c r="D224" s="18" t="n"/>
      <c r="E224" s="18" t="n"/>
      <c r="F224" s="19" t="n"/>
      <c r="G224" s="20" t="n"/>
      <c r="H224" s="21">
        <f>IF(AND(ISNUMBER(D224),ISNUMBER(E224)),E224-D224+1,"")</f>
        <v/>
      </c>
      <c r="I224" s="22">
        <f>IF(AND(ISNUMBER(F224),N(F224)&gt;0,ISNUMBER(G224)),G224/F224,"")</f>
        <v/>
      </c>
      <c r="J224" s="21">
        <f>IF(OR(A224="",B224=""),"",IF(C224=Yr_Cur,"CY",IF(C224=Yr_Prev,"PY","")))</f>
        <v/>
      </c>
      <c r="K224" s="21">
        <f>IF(J224="","",IF(J224="CY",SUMIFS(Dat_H,Dat_A,A224,Dat_B,B224,Dat_C,Yr_Prev),SUMIFS(Dat_H,Dat_A,A224,Dat_B,B224,Dat_C,Yr_Cur)))</f>
        <v/>
      </c>
      <c r="L224" s="21">
        <f>IF(J224="",0,IF(AND(ISNUMBER(H224),N(K224)&gt;0,ISNUMBER(F224),ISNUMBER(G224),OR(Sel_Market="All markets",A224=Sel_Market),COUNTIFS(Control!$B$11:$B$13,B224,Control!$C$11:$C$13,"Yes")&gt;0),1,0))</f>
        <v/>
      </c>
      <c r="M224" s="21">
        <f>IF(L224=1,IF(J224="CY",H224,K224),"")</f>
        <v/>
      </c>
      <c r="N224" s="21">
        <f>IF(L224=1,IF(J224="PY",H224,K224),"")</f>
        <v/>
      </c>
      <c r="O224" s="23">
        <f>IF(L224=1,IF(J224="PY",F224*M224/N224,F224),0)</f>
        <v/>
      </c>
      <c r="P224" s="23">
        <f>IF(L224=1,IF(J224="PY",G224*M224/N224,G224),0)</f>
        <v/>
      </c>
      <c r="Q224" s="23">
        <f>IF(AND(L224=1,J224="PY"),F224*(N224-M224)/N224,0)</f>
        <v/>
      </c>
      <c r="R224" s="23">
        <f>IF(AND(L224=1,J224="PY"),G224*(N224-M224)/N224,0)</f>
        <v/>
      </c>
      <c r="S224" s="21">
        <f>IF(COUNTA(A224:G224)=0,"",IF(OR(A224="",B224="",NOT(ISNUMBER(C224))),"Fill market, product and year",IF(COUNTIF(Control!$B$11:$B$13,B224)=0,"Unknown product",IF(COUNTIFS(Dat_A,A224,Dat_B,B224,Dat_C,C224)&gt;1,"Duplicate market/product/year",IF(OR(NOT(ISNUMBER(D224)),NOT(ISNUMBER(E224))),"Add launch date and Data through date",IF(E224&lt;D224,"Data through is before launch",IF(OR(NOT(ISNUMBER(F224)),NOT(ISNUMBER(G224))),"Add units and revenue","OK")))))))</f>
        <v/>
      </c>
    </row>
    <row r="225">
      <c r="A225" s="17" t="n"/>
      <c r="B225" s="17" t="n"/>
      <c r="C225" s="17" t="n"/>
      <c r="D225" s="18" t="n"/>
      <c r="E225" s="18" t="n"/>
      <c r="F225" s="19" t="n"/>
      <c r="G225" s="20" t="n"/>
      <c r="H225" s="21">
        <f>IF(AND(ISNUMBER(D225),ISNUMBER(E225)),E225-D225+1,"")</f>
        <v/>
      </c>
      <c r="I225" s="22">
        <f>IF(AND(ISNUMBER(F225),N(F225)&gt;0,ISNUMBER(G225)),G225/F225,"")</f>
        <v/>
      </c>
      <c r="J225" s="21">
        <f>IF(OR(A225="",B225=""),"",IF(C225=Yr_Cur,"CY",IF(C225=Yr_Prev,"PY","")))</f>
        <v/>
      </c>
      <c r="K225" s="21">
        <f>IF(J225="","",IF(J225="CY",SUMIFS(Dat_H,Dat_A,A225,Dat_B,B225,Dat_C,Yr_Prev),SUMIFS(Dat_H,Dat_A,A225,Dat_B,B225,Dat_C,Yr_Cur)))</f>
        <v/>
      </c>
      <c r="L225" s="21">
        <f>IF(J225="",0,IF(AND(ISNUMBER(H225),N(K225)&gt;0,ISNUMBER(F225),ISNUMBER(G225),OR(Sel_Market="All markets",A225=Sel_Market),COUNTIFS(Control!$B$11:$B$13,B225,Control!$C$11:$C$13,"Yes")&gt;0),1,0))</f>
        <v/>
      </c>
      <c r="M225" s="21">
        <f>IF(L225=1,IF(J225="CY",H225,K225),"")</f>
        <v/>
      </c>
      <c r="N225" s="21">
        <f>IF(L225=1,IF(J225="PY",H225,K225),"")</f>
        <v/>
      </c>
      <c r="O225" s="23">
        <f>IF(L225=1,IF(J225="PY",F225*M225/N225,F225),0)</f>
        <v/>
      </c>
      <c r="P225" s="23">
        <f>IF(L225=1,IF(J225="PY",G225*M225/N225,G225),0)</f>
        <v/>
      </c>
      <c r="Q225" s="23">
        <f>IF(AND(L225=1,J225="PY"),F225*(N225-M225)/N225,0)</f>
        <v/>
      </c>
      <c r="R225" s="23">
        <f>IF(AND(L225=1,J225="PY"),G225*(N225-M225)/N225,0)</f>
        <v/>
      </c>
      <c r="S225" s="21">
        <f>IF(COUNTA(A225:G225)=0,"",IF(OR(A225="",B225="",NOT(ISNUMBER(C225))),"Fill market, product and year",IF(COUNTIF(Control!$B$11:$B$13,B225)=0,"Unknown product",IF(COUNTIFS(Dat_A,A225,Dat_B,B225,Dat_C,C225)&gt;1,"Duplicate market/product/year",IF(OR(NOT(ISNUMBER(D225)),NOT(ISNUMBER(E225))),"Add launch date and Data through date",IF(E225&lt;D225,"Data through is before launch",IF(OR(NOT(ISNUMBER(F225)),NOT(ISNUMBER(G225))),"Add units and revenue","OK")))))))</f>
        <v/>
      </c>
    </row>
    <row r="226">
      <c r="A226" s="17" t="n"/>
      <c r="B226" s="17" t="n"/>
      <c r="C226" s="17" t="n"/>
      <c r="D226" s="18" t="n"/>
      <c r="E226" s="18" t="n"/>
      <c r="F226" s="19" t="n"/>
      <c r="G226" s="20" t="n"/>
      <c r="H226" s="21">
        <f>IF(AND(ISNUMBER(D226),ISNUMBER(E226)),E226-D226+1,"")</f>
        <v/>
      </c>
      <c r="I226" s="22">
        <f>IF(AND(ISNUMBER(F226),N(F226)&gt;0,ISNUMBER(G226)),G226/F226,"")</f>
        <v/>
      </c>
      <c r="J226" s="21">
        <f>IF(OR(A226="",B226=""),"",IF(C226=Yr_Cur,"CY",IF(C226=Yr_Prev,"PY","")))</f>
        <v/>
      </c>
      <c r="K226" s="21">
        <f>IF(J226="","",IF(J226="CY",SUMIFS(Dat_H,Dat_A,A226,Dat_B,B226,Dat_C,Yr_Prev),SUMIFS(Dat_H,Dat_A,A226,Dat_B,B226,Dat_C,Yr_Cur)))</f>
        <v/>
      </c>
      <c r="L226" s="21">
        <f>IF(J226="",0,IF(AND(ISNUMBER(H226),N(K226)&gt;0,ISNUMBER(F226),ISNUMBER(G226),OR(Sel_Market="All markets",A226=Sel_Market),COUNTIFS(Control!$B$11:$B$13,B226,Control!$C$11:$C$13,"Yes")&gt;0),1,0))</f>
        <v/>
      </c>
      <c r="M226" s="21">
        <f>IF(L226=1,IF(J226="CY",H226,K226),"")</f>
        <v/>
      </c>
      <c r="N226" s="21">
        <f>IF(L226=1,IF(J226="PY",H226,K226),"")</f>
        <v/>
      </c>
      <c r="O226" s="23">
        <f>IF(L226=1,IF(J226="PY",F226*M226/N226,F226),0)</f>
        <v/>
      </c>
      <c r="P226" s="23">
        <f>IF(L226=1,IF(J226="PY",G226*M226/N226,G226),0)</f>
        <v/>
      </c>
      <c r="Q226" s="23">
        <f>IF(AND(L226=1,J226="PY"),F226*(N226-M226)/N226,0)</f>
        <v/>
      </c>
      <c r="R226" s="23">
        <f>IF(AND(L226=1,J226="PY"),G226*(N226-M226)/N226,0)</f>
        <v/>
      </c>
      <c r="S226" s="21">
        <f>IF(COUNTA(A226:G226)=0,"",IF(OR(A226="",B226="",NOT(ISNUMBER(C226))),"Fill market, product and year",IF(COUNTIF(Control!$B$11:$B$13,B226)=0,"Unknown product",IF(COUNTIFS(Dat_A,A226,Dat_B,B226,Dat_C,C226)&gt;1,"Duplicate market/product/year",IF(OR(NOT(ISNUMBER(D226)),NOT(ISNUMBER(E226))),"Add launch date and Data through date",IF(E226&lt;D226,"Data through is before launch",IF(OR(NOT(ISNUMBER(F226)),NOT(ISNUMBER(G226))),"Add units and revenue","OK")))))))</f>
        <v/>
      </c>
    </row>
    <row r="227">
      <c r="A227" s="17" t="n"/>
      <c r="B227" s="17" t="n"/>
      <c r="C227" s="17" t="n"/>
      <c r="D227" s="18" t="n"/>
      <c r="E227" s="18" t="n"/>
      <c r="F227" s="19" t="n"/>
      <c r="G227" s="20" t="n"/>
      <c r="H227" s="21">
        <f>IF(AND(ISNUMBER(D227),ISNUMBER(E227)),E227-D227+1,"")</f>
        <v/>
      </c>
      <c r="I227" s="22">
        <f>IF(AND(ISNUMBER(F227),N(F227)&gt;0,ISNUMBER(G227)),G227/F227,"")</f>
        <v/>
      </c>
      <c r="J227" s="21">
        <f>IF(OR(A227="",B227=""),"",IF(C227=Yr_Cur,"CY",IF(C227=Yr_Prev,"PY","")))</f>
        <v/>
      </c>
      <c r="K227" s="21">
        <f>IF(J227="","",IF(J227="CY",SUMIFS(Dat_H,Dat_A,A227,Dat_B,B227,Dat_C,Yr_Prev),SUMIFS(Dat_H,Dat_A,A227,Dat_B,B227,Dat_C,Yr_Cur)))</f>
        <v/>
      </c>
      <c r="L227" s="21">
        <f>IF(J227="",0,IF(AND(ISNUMBER(H227),N(K227)&gt;0,ISNUMBER(F227),ISNUMBER(G227),OR(Sel_Market="All markets",A227=Sel_Market),COUNTIFS(Control!$B$11:$B$13,B227,Control!$C$11:$C$13,"Yes")&gt;0),1,0))</f>
        <v/>
      </c>
      <c r="M227" s="21">
        <f>IF(L227=1,IF(J227="CY",H227,K227),"")</f>
        <v/>
      </c>
      <c r="N227" s="21">
        <f>IF(L227=1,IF(J227="PY",H227,K227),"")</f>
        <v/>
      </c>
      <c r="O227" s="23">
        <f>IF(L227=1,IF(J227="PY",F227*M227/N227,F227),0)</f>
        <v/>
      </c>
      <c r="P227" s="23">
        <f>IF(L227=1,IF(J227="PY",G227*M227/N227,G227),0)</f>
        <v/>
      </c>
      <c r="Q227" s="23">
        <f>IF(AND(L227=1,J227="PY"),F227*(N227-M227)/N227,0)</f>
        <v/>
      </c>
      <c r="R227" s="23">
        <f>IF(AND(L227=1,J227="PY"),G227*(N227-M227)/N227,0)</f>
        <v/>
      </c>
      <c r="S227" s="21">
        <f>IF(COUNTA(A227:G227)=0,"",IF(OR(A227="",B227="",NOT(ISNUMBER(C227))),"Fill market, product and year",IF(COUNTIF(Control!$B$11:$B$13,B227)=0,"Unknown product",IF(COUNTIFS(Dat_A,A227,Dat_B,B227,Dat_C,C227)&gt;1,"Duplicate market/product/year",IF(OR(NOT(ISNUMBER(D227)),NOT(ISNUMBER(E227))),"Add launch date and Data through date",IF(E227&lt;D227,"Data through is before launch",IF(OR(NOT(ISNUMBER(F227)),NOT(ISNUMBER(G227))),"Add units and revenue","OK")))))))</f>
        <v/>
      </c>
    </row>
    <row r="228">
      <c r="A228" s="17" t="n"/>
      <c r="B228" s="17" t="n"/>
      <c r="C228" s="17" t="n"/>
      <c r="D228" s="18" t="n"/>
      <c r="E228" s="18" t="n"/>
      <c r="F228" s="19" t="n"/>
      <c r="G228" s="20" t="n"/>
      <c r="H228" s="21">
        <f>IF(AND(ISNUMBER(D228),ISNUMBER(E228)),E228-D228+1,"")</f>
        <v/>
      </c>
      <c r="I228" s="22">
        <f>IF(AND(ISNUMBER(F228),N(F228)&gt;0,ISNUMBER(G228)),G228/F228,"")</f>
        <v/>
      </c>
      <c r="J228" s="21">
        <f>IF(OR(A228="",B228=""),"",IF(C228=Yr_Cur,"CY",IF(C228=Yr_Prev,"PY","")))</f>
        <v/>
      </c>
      <c r="K228" s="21">
        <f>IF(J228="","",IF(J228="CY",SUMIFS(Dat_H,Dat_A,A228,Dat_B,B228,Dat_C,Yr_Prev),SUMIFS(Dat_H,Dat_A,A228,Dat_B,B228,Dat_C,Yr_Cur)))</f>
        <v/>
      </c>
      <c r="L228" s="21">
        <f>IF(J228="",0,IF(AND(ISNUMBER(H228),N(K228)&gt;0,ISNUMBER(F228),ISNUMBER(G228),OR(Sel_Market="All markets",A228=Sel_Market),COUNTIFS(Control!$B$11:$B$13,B228,Control!$C$11:$C$13,"Yes")&gt;0),1,0))</f>
        <v/>
      </c>
      <c r="M228" s="21">
        <f>IF(L228=1,IF(J228="CY",H228,K228),"")</f>
        <v/>
      </c>
      <c r="N228" s="21">
        <f>IF(L228=1,IF(J228="PY",H228,K228),"")</f>
        <v/>
      </c>
      <c r="O228" s="23">
        <f>IF(L228=1,IF(J228="PY",F228*M228/N228,F228),0)</f>
        <v/>
      </c>
      <c r="P228" s="23">
        <f>IF(L228=1,IF(J228="PY",G228*M228/N228,G228),0)</f>
        <v/>
      </c>
      <c r="Q228" s="23">
        <f>IF(AND(L228=1,J228="PY"),F228*(N228-M228)/N228,0)</f>
        <v/>
      </c>
      <c r="R228" s="23">
        <f>IF(AND(L228=1,J228="PY"),G228*(N228-M228)/N228,0)</f>
        <v/>
      </c>
      <c r="S228" s="21">
        <f>IF(COUNTA(A228:G228)=0,"",IF(OR(A228="",B228="",NOT(ISNUMBER(C228))),"Fill market, product and year",IF(COUNTIF(Control!$B$11:$B$13,B228)=0,"Unknown product",IF(COUNTIFS(Dat_A,A228,Dat_B,B228,Dat_C,C228)&gt;1,"Duplicate market/product/year",IF(OR(NOT(ISNUMBER(D228)),NOT(ISNUMBER(E228))),"Add launch date and Data through date",IF(E228&lt;D228,"Data through is before launch",IF(OR(NOT(ISNUMBER(F228)),NOT(ISNUMBER(G228))),"Add units and revenue","OK")))))))</f>
        <v/>
      </c>
    </row>
    <row r="229">
      <c r="A229" s="17" t="n"/>
      <c r="B229" s="17" t="n"/>
      <c r="C229" s="17" t="n"/>
      <c r="D229" s="18" t="n"/>
      <c r="E229" s="18" t="n"/>
      <c r="F229" s="19" t="n"/>
      <c r="G229" s="20" t="n"/>
      <c r="H229" s="21">
        <f>IF(AND(ISNUMBER(D229),ISNUMBER(E229)),E229-D229+1,"")</f>
        <v/>
      </c>
      <c r="I229" s="22">
        <f>IF(AND(ISNUMBER(F229),N(F229)&gt;0,ISNUMBER(G229)),G229/F229,"")</f>
        <v/>
      </c>
      <c r="J229" s="21">
        <f>IF(OR(A229="",B229=""),"",IF(C229=Yr_Cur,"CY",IF(C229=Yr_Prev,"PY","")))</f>
        <v/>
      </c>
      <c r="K229" s="21">
        <f>IF(J229="","",IF(J229="CY",SUMIFS(Dat_H,Dat_A,A229,Dat_B,B229,Dat_C,Yr_Prev),SUMIFS(Dat_H,Dat_A,A229,Dat_B,B229,Dat_C,Yr_Cur)))</f>
        <v/>
      </c>
      <c r="L229" s="21">
        <f>IF(J229="",0,IF(AND(ISNUMBER(H229),N(K229)&gt;0,ISNUMBER(F229),ISNUMBER(G229),OR(Sel_Market="All markets",A229=Sel_Market),COUNTIFS(Control!$B$11:$B$13,B229,Control!$C$11:$C$13,"Yes")&gt;0),1,0))</f>
        <v/>
      </c>
      <c r="M229" s="21">
        <f>IF(L229=1,IF(J229="CY",H229,K229),"")</f>
        <v/>
      </c>
      <c r="N229" s="21">
        <f>IF(L229=1,IF(J229="PY",H229,K229),"")</f>
        <v/>
      </c>
      <c r="O229" s="23">
        <f>IF(L229=1,IF(J229="PY",F229*M229/N229,F229),0)</f>
        <v/>
      </c>
      <c r="P229" s="23">
        <f>IF(L229=1,IF(J229="PY",G229*M229/N229,G229),0)</f>
        <v/>
      </c>
      <c r="Q229" s="23">
        <f>IF(AND(L229=1,J229="PY"),F229*(N229-M229)/N229,0)</f>
        <v/>
      </c>
      <c r="R229" s="23">
        <f>IF(AND(L229=1,J229="PY"),G229*(N229-M229)/N229,0)</f>
        <v/>
      </c>
      <c r="S229" s="21">
        <f>IF(COUNTA(A229:G229)=0,"",IF(OR(A229="",B229="",NOT(ISNUMBER(C229))),"Fill market, product and year",IF(COUNTIF(Control!$B$11:$B$13,B229)=0,"Unknown product",IF(COUNTIFS(Dat_A,A229,Dat_B,B229,Dat_C,C229)&gt;1,"Duplicate market/product/year",IF(OR(NOT(ISNUMBER(D229)),NOT(ISNUMBER(E229))),"Add launch date and Data through date",IF(E229&lt;D229,"Data through is before launch",IF(OR(NOT(ISNUMBER(F229)),NOT(ISNUMBER(G229))),"Add units and revenue","OK")))))))</f>
        <v/>
      </c>
    </row>
    <row r="230">
      <c r="A230" s="17" t="n"/>
      <c r="B230" s="17" t="n"/>
      <c r="C230" s="17" t="n"/>
      <c r="D230" s="18" t="n"/>
      <c r="E230" s="18" t="n"/>
      <c r="F230" s="19" t="n"/>
      <c r="G230" s="20" t="n"/>
      <c r="H230" s="21">
        <f>IF(AND(ISNUMBER(D230),ISNUMBER(E230)),E230-D230+1,"")</f>
        <v/>
      </c>
      <c r="I230" s="22">
        <f>IF(AND(ISNUMBER(F230),N(F230)&gt;0,ISNUMBER(G230)),G230/F230,"")</f>
        <v/>
      </c>
      <c r="J230" s="21">
        <f>IF(OR(A230="",B230=""),"",IF(C230=Yr_Cur,"CY",IF(C230=Yr_Prev,"PY","")))</f>
        <v/>
      </c>
      <c r="K230" s="21">
        <f>IF(J230="","",IF(J230="CY",SUMIFS(Dat_H,Dat_A,A230,Dat_B,B230,Dat_C,Yr_Prev),SUMIFS(Dat_H,Dat_A,A230,Dat_B,B230,Dat_C,Yr_Cur)))</f>
        <v/>
      </c>
      <c r="L230" s="21">
        <f>IF(J230="",0,IF(AND(ISNUMBER(H230),N(K230)&gt;0,ISNUMBER(F230),ISNUMBER(G230),OR(Sel_Market="All markets",A230=Sel_Market),COUNTIFS(Control!$B$11:$B$13,B230,Control!$C$11:$C$13,"Yes")&gt;0),1,0))</f>
        <v/>
      </c>
      <c r="M230" s="21">
        <f>IF(L230=1,IF(J230="CY",H230,K230),"")</f>
        <v/>
      </c>
      <c r="N230" s="21">
        <f>IF(L230=1,IF(J230="PY",H230,K230),"")</f>
        <v/>
      </c>
      <c r="O230" s="23">
        <f>IF(L230=1,IF(J230="PY",F230*M230/N230,F230),0)</f>
        <v/>
      </c>
      <c r="P230" s="23">
        <f>IF(L230=1,IF(J230="PY",G230*M230/N230,G230),0)</f>
        <v/>
      </c>
      <c r="Q230" s="23">
        <f>IF(AND(L230=1,J230="PY"),F230*(N230-M230)/N230,0)</f>
        <v/>
      </c>
      <c r="R230" s="23">
        <f>IF(AND(L230=1,J230="PY"),G230*(N230-M230)/N230,0)</f>
        <v/>
      </c>
      <c r="S230" s="21">
        <f>IF(COUNTA(A230:G230)=0,"",IF(OR(A230="",B230="",NOT(ISNUMBER(C230))),"Fill market, product and year",IF(COUNTIF(Control!$B$11:$B$13,B230)=0,"Unknown product",IF(COUNTIFS(Dat_A,A230,Dat_B,B230,Dat_C,C230)&gt;1,"Duplicate market/product/year",IF(OR(NOT(ISNUMBER(D230)),NOT(ISNUMBER(E230))),"Add launch date and Data through date",IF(E230&lt;D230,"Data through is before launch",IF(OR(NOT(ISNUMBER(F230)),NOT(ISNUMBER(G230))),"Add units and revenue","OK")))))))</f>
        <v/>
      </c>
    </row>
    <row r="231">
      <c r="A231" s="17" t="n"/>
      <c r="B231" s="17" t="n"/>
      <c r="C231" s="17" t="n"/>
      <c r="D231" s="18" t="n"/>
      <c r="E231" s="18" t="n"/>
      <c r="F231" s="19" t="n"/>
      <c r="G231" s="20" t="n"/>
      <c r="H231" s="21">
        <f>IF(AND(ISNUMBER(D231),ISNUMBER(E231)),E231-D231+1,"")</f>
        <v/>
      </c>
      <c r="I231" s="22">
        <f>IF(AND(ISNUMBER(F231),N(F231)&gt;0,ISNUMBER(G231)),G231/F231,"")</f>
        <v/>
      </c>
      <c r="J231" s="21">
        <f>IF(OR(A231="",B231=""),"",IF(C231=Yr_Cur,"CY",IF(C231=Yr_Prev,"PY","")))</f>
        <v/>
      </c>
      <c r="K231" s="21">
        <f>IF(J231="","",IF(J231="CY",SUMIFS(Dat_H,Dat_A,A231,Dat_B,B231,Dat_C,Yr_Prev),SUMIFS(Dat_H,Dat_A,A231,Dat_B,B231,Dat_C,Yr_Cur)))</f>
        <v/>
      </c>
      <c r="L231" s="21">
        <f>IF(J231="",0,IF(AND(ISNUMBER(H231),N(K231)&gt;0,ISNUMBER(F231),ISNUMBER(G231),OR(Sel_Market="All markets",A231=Sel_Market),COUNTIFS(Control!$B$11:$B$13,B231,Control!$C$11:$C$13,"Yes")&gt;0),1,0))</f>
        <v/>
      </c>
      <c r="M231" s="21">
        <f>IF(L231=1,IF(J231="CY",H231,K231),"")</f>
        <v/>
      </c>
      <c r="N231" s="21">
        <f>IF(L231=1,IF(J231="PY",H231,K231),"")</f>
        <v/>
      </c>
      <c r="O231" s="23">
        <f>IF(L231=1,IF(J231="PY",F231*M231/N231,F231),0)</f>
        <v/>
      </c>
      <c r="P231" s="23">
        <f>IF(L231=1,IF(J231="PY",G231*M231/N231,G231),0)</f>
        <v/>
      </c>
      <c r="Q231" s="23">
        <f>IF(AND(L231=1,J231="PY"),F231*(N231-M231)/N231,0)</f>
        <v/>
      </c>
      <c r="R231" s="23">
        <f>IF(AND(L231=1,J231="PY"),G231*(N231-M231)/N231,0)</f>
        <v/>
      </c>
      <c r="S231" s="21">
        <f>IF(COUNTA(A231:G231)=0,"",IF(OR(A231="",B231="",NOT(ISNUMBER(C231))),"Fill market, product and year",IF(COUNTIF(Control!$B$11:$B$13,B231)=0,"Unknown product",IF(COUNTIFS(Dat_A,A231,Dat_B,B231,Dat_C,C231)&gt;1,"Duplicate market/product/year",IF(OR(NOT(ISNUMBER(D231)),NOT(ISNUMBER(E231))),"Add launch date and Data through date",IF(E231&lt;D231,"Data through is before launch",IF(OR(NOT(ISNUMBER(F231)),NOT(ISNUMBER(G231))),"Add units and revenue","OK")))))))</f>
        <v/>
      </c>
    </row>
    <row r="232">
      <c r="A232" s="17" t="n"/>
      <c r="B232" s="17" t="n"/>
      <c r="C232" s="17" t="n"/>
      <c r="D232" s="18" t="n"/>
      <c r="E232" s="18" t="n"/>
      <c r="F232" s="19" t="n"/>
      <c r="G232" s="20" t="n"/>
      <c r="H232" s="21">
        <f>IF(AND(ISNUMBER(D232),ISNUMBER(E232)),E232-D232+1,"")</f>
        <v/>
      </c>
      <c r="I232" s="22">
        <f>IF(AND(ISNUMBER(F232),N(F232)&gt;0,ISNUMBER(G232)),G232/F232,"")</f>
        <v/>
      </c>
      <c r="J232" s="21">
        <f>IF(OR(A232="",B232=""),"",IF(C232=Yr_Cur,"CY",IF(C232=Yr_Prev,"PY","")))</f>
        <v/>
      </c>
      <c r="K232" s="21">
        <f>IF(J232="","",IF(J232="CY",SUMIFS(Dat_H,Dat_A,A232,Dat_B,B232,Dat_C,Yr_Prev),SUMIFS(Dat_H,Dat_A,A232,Dat_B,B232,Dat_C,Yr_Cur)))</f>
        <v/>
      </c>
      <c r="L232" s="21">
        <f>IF(J232="",0,IF(AND(ISNUMBER(H232),N(K232)&gt;0,ISNUMBER(F232),ISNUMBER(G232),OR(Sel_Market="All markets",A232=Sel_Market),COUNTIFS(Control!$B$11:$B$13,B232,Control!$C$11:$C$13,"Yes")&gt;0),1,0))</f>
        <v/>
      </c>
      <c r="M232" s="21">
        <f>IF(L232=1,IF(J232="CY",H232,K232),"")</f>
        <v/>
      </c>
      <c r="N232" s="21">
        <f>IF(L232=1,IF(J232="PY",H232,K232),"")</f>
        <v/>
      </c>
      <c r="O232" s="23">
        <f>IF(L232=1,IF(J232="PY",F232*M232/N232,F232),0)</f>
        <v/>
      </c>
      <c r="P232" s="23">
        <f>IF(L232=1,IF(J232="PY",G232*M232/N232,G232),0)</f>
        <v/>
      </c>
      <c r="Q232" s="23">
        <f>IF(AND(L232=1,J232="PY"),F232*(N232-M232)/N232,0)</f>
        <v/>
      </c>
      <c r="R232" s="23">
        <f>IF(AND(L232=1,J232="PY"),G232*(N232-M232)/N232,0)</f>
        <v/>
      </c>
      <c r="S232" s="21">
        <f>IF(COUNTA(A232:G232)=0,"",IF(OR(A232="",B232="",NOT(ISNUMBER(C232))),"Fill market, product and year",IF(COUNTIF(Control!$B$11:$B$13,B232)=0,"Unknown product",IF(COUNTIFS(Dat_A,A232,Dat_B,B232,Dat_C,C232)&gt;1,"Duplicate market/product/year",IF(OR(NOT(ISNUMBER(D232)),NOT(ISNUMBER(E232))),"Add launch date and Data through date",IF(E232&lt;D232,"Data through is before launch",IF(OR(NOT(ISNUMBER(F232)),NOT(ISNUMBER(G232))),"Add units and revenue","OK")))))))</f>
        <v/>
      </c>
    </row>
    <row r="233">
      <c r="A233" s="17" t="n"/>
      <c r="B233" s="17" t="n"/>
      <c r="C233" s="17" t="n"/>
      <c r="D233" s="18" t="n"/>
      <c r="E233" s="18" t="n"/>
      <c r="F233" s="19" t="n"/>
      <c r="G233" s="20" t="n"/>
      <c r="H233" s="21">
        <f>IF(AND(ISNUMBER(D233),ISNUMBER(E233)),E233-D233+1,"")</f>
        <v/>
      </c>
      <c r="I233" s="22">
        <f>IF(AND(ISNUMBER(F233),N(F233)&gt;0,ISNUMBER(G233)),G233/F233,"")</f>
        <v/>
      </c>
      <c r="J233" s="21">
        <f>IF(OR(A233="",B233=""),"",IF(C233=Yr_Cur,"CY",IF(C233=Yr_Prev,"PY","")))</f>
        <v/>
      </c>
      <c r="K233" s="21">
        <f>IF(J233="","",IF(J233="CY",SUMIFS(Dat_H,Dat_A,A233,Dat_B,B233,Dat_C,Yr_Prev),SUMIFS(Dat_H,Dat_A,A233,Dat_B,B233,Dat_C,Yr_Cur)))</f>
        <v/>
      </c>
      <c r="L233" s="21">
        <f>IF(J233="",0,IF(AND(ISNUMBER(H233),N(K233)&gt;0,ISNUMBER(F233),ISNUMBER(G233),OR(Sel_Market="All markets",A233=Sel_Market),COUNTIFS(Control!$B$11:$B$13,B233,Control!$C$11:$C$13,"Yes")&gt;0),1,0))</f>
        <v/>
      </c>
      <c r="M233" s="21">
        <f>IF(L233=1,IF(J233="CY",H233,K233),"")</f>
        <v/>
      </c>
      <c r="N233" s="21">
        <f>IF(L233=1,IF(J233="PY",H233,K233),"")</f>
        <v/>
      </c>
      <c r="O233" s="23">
        <f>IF(L233=1,IF(J233="PY",F233*M233/N233,F233),0)</f>
        <v/>
      </c>
      <c r="P233" s="23">
        <f>IF(L233=1,IF(J233="PY",G233*M233/N233,G233),0)</f>
        <v/>
      </c>
      <c r="Q233" s="23">
        <f>IF(AND(L233=1,J233="PY"),F233*(N233-M233)/N233,0)</f>
        <v/>
      </c>
      <c r="R233" s="23">
        <f>IF(AND(L233=1,J233="PY"),G233*(N233-M233)/N233,0)</f>
        <v/>
      </c>
      <c r="S233" s="21">
        <f>IF(COUNTA(A233:G233)=0,"",IF(OR(A233="",B233="",NOT(ISNUMBER(C233))),"Fill market, product and year",IF(COUNTIF(Control!$B$11:$B$13,B233)=0,"Unknown product",IF(COUNTIFS(Dat_A,A233,Dat_B,B233,Dat_C,C233)&gt;1,"Duplicate market/product/year",IF(OR(NOT(ISNUMBER(D233)),NOT(ISNUMBER(E233))),"Add launch date and Data through date",IF(E233&lt;D233,"Data through is before launch",IF(OR(NOT(ISNUMBER(F233)),NOT(ISNUMBER(G233))),"Add units and revenue","OK")))))))</f>
        <v/>
      </c>
    </row>
    <row r="234">
      <c r="A234" s="17" t="n"/>
      <c r="B234" s="17" t="n"/>
      <c r="C234" s="17" t="n"/>
      <c r="D234" s="18" t="n"/>
      <c r="E234" s="18" t="n"/>
      <c r="F234" s="19" t="n"/>
      <c r="G234" s="20" t="n"/>
      <c r="H234" s="21">
        <f>IF(AND(ISNUMBER(D234),ISNUMBER(E234)),E234-D234+1,"")</f>
        <v/>
      </c>
      <c r="I234" s="22">
        <f>IF(AND(ISNUMBER(F234),N(F234)&gt;0,ISNUMBER(G234)),G234/F234,"")</f>
        <v/>
      </c>
      <c r="J234" s="21">
        <f>IF(OR(A234="",B234=""),"",IF(C234=Yr_Cur,"CY",IF(C234=Yr_Prev,"PY","")))</f>
        <v/>
      </c>
      <c r="K234" s="21">
        <f>IF(J234="","",IF(J234="CY",SUMIFS(Dat_H,Dat_A,A234,Dat_B,B234,Dat_C,Yr_Prev),SUMIFS(Dat_H,Dat_A,A234,Dat_B,B234,Dat_C,Yr_Cur)))</f>
        <v/>
      </c>
      <c r="L234" s="21">
        <f>IF(J234="",0,IF(AND(ISNUMBER(H234),N(K234)&gt;0,ISNUMBER(F234),ISNUMBER(G234),OR(Sel_Market="All markets",A234=Sel_Market),COUNTIFS(Control!$B$11:$B$13,B234,Control!$C$11:$C$13,"Yes")&gt;0),1,0))</f>
        <v/>
      </c>
      <c r="M234" s="21">
        <f>IF(L234=1,IF(J234="CY",H234,K234),"")</f>
        <v/>
      </c>
      <c r="N234" s="21">
        <f>IF(L234=1,IF(J234="PY",H234,K234),"")</f>
        <v/>
      </c>
      <c r="O234" s="23">
        <f>IF(L234=1,IF(J234="PY",F234*M234/N234,F234),0)</f>
        <v/>
      </c>
      <c r="P234" s="23">
        <f>IF(L234=1,IF(J234="PY",G234*M234/N234,G234),0)</f>
        <v/>
      </c>
      <c r="Q234" s="23">
        <f>IF(AND(L234=1,J234="PY"),F234*(N234-M234)/N234,0)</f>
        <v/>
      </c>
      <c r="R234" s="23">
        <f>IF(AND(L234=1,J234="PY"),G234*(N234-M234)/N234,0)</f>
        <v/>
      </c>
      <c r="S234" s="21">
        <f>IF(COUNTA(A234:G234)=0,"",IF(OR(A234="",B234="",NOT(ISNUMBER(C234))),"Fill market, product and year",IF(COUNTIF(Control!$B$11:$B$13,B234)=0,"Unknown product",IF(COUNTIFS(Dat_A,A234,Dat_B,B234,Dat_C,C234)&gt;1,"Duplicate market/product/year",IF(OR(NOT(ISNUMBER(D234)),NOT(ISNUMBER(E234))),"Add launch date and Data through date",IF(E234&lt;D234,"Data through is before launch",IF(OR(NOT(ISNUMBER(F234)),NOT(ISNUMBER(G234))),"Add units and revenue","OK")))))))</f>
        <v/>
      </c>
    </row>
    <row r="235">
      <c r="A235" s="17" t="n"/>
      <c r="B235" s="17" t="n"/>
      <c r="C235" s="17" t="n"/>
      <c r="D235" s="18" t="n"/>
      <c r="E235" s="18" t="n"/>
      <c r="F235" s="19" t="n"/>
      <c r="G235" s="20" t="n"/>
      <c r="H235" s="21">
        <f>IF(AND(ISNUMBER(D235),ISNUMBER(E235)),E235-D235+1,"")</f>
        <v/>
      </c>
      <c r="I235" s="22">
        <f>IF(AND(ISNUMBER(F235),N(F235)&gt;0,ISNUMBER(G235)),G235/F235,"")</f>
        <v/>
      </c>
      <c r="J235" s="21">
        <f>IF(OR(A235="",B235=""),"",IF(C235=Yr_Cur,"CY",IF(C235=Yr_Prev,"PY","")))</f>
        <v/>
      </c>
      <c r="K235" s="21">
        <f>IF(J235="","",IF(J235="CY",SUMIFS(Dat_H,Dat_A,A235,Dat_B,B235,Dat_C,Yr_Prev),SUMIFS(Dat_H,Dat_A,A235,Dat_B,B235,Dat_C,Yr_Cur)))</f>
        <v/>
      </c>
      <c r="L235" s="21">
        <f>IF(J235="",0,IF(AND(ISNUMBER(H235),N(K235)&gt;0,ISNUMBER(F235),ISNUMBER(G235),OR(Sel_Market="All markets",A235=Sel_Market),COUNTIFS(Control!$B$11:$B$13,B235,Control!$C$11:$C$13,"Yes")&gt;0),1,0))</f>
        <v/>
      </c>
      <c r="M235" s="21">
        <f>IF(L235=1,IF(J235="CY",H235,K235),"")</f>
        <v/>
      </c>
      <c r="N235" s="21">
        <f>IF(L235=1,IF(J235="PY",H235,K235),"")</f>
        <v/>
      </c>
      <c r="O235" s="23">
        <f>IF(L235=1,IF(J235="PY",F235*M235/N235,F235),0)</f>
        <v/>
      </c>
      <c r="P235" s="23">
        <f>IF(L235=1,IF(J235="PY",G235*M235/N235,G235),0)</f>
        <v/>
      </c>
      <c r="Q235" s="23">
        <f>IF(AND(L235=1,J235="PY"),F235*(N235-M235)/N235,0)</f>
        <v/>
      </c>
      <c r="R235" s="23">
        <f>IF(AND(L235=1,J235="PY"),G235*(N235-M235)/N235,0)</f>
        <v/>
      </c>
      <c r="S235" s="21">
        <f>IF(COUNTA(A235:G235)=0,"",IF(OR(A235="",B235="",NOT(ISNUMBER(C235))),"Fill market, product and year",IF(COUNTIF(Control!$B$11:$B$13,B235)=0,"Unknown product",IF(COUNTIFS(Dat_A,A235,Dat_B,B235,Dat_C,C235)&gt;1,"Duplicate market/product/year",IF(OR(NOT(ISNUMBER(D235)),NOT(ISNUMBER(E235))),"Add launch date and Data through date",IF(E235&lt;D235,"Data through is before launch",IF(OR(NOT(ISNUMBER(F235)),NOT(ISNUMBER(G235))),"Add units and revenue","OK")))))))</f>
        <v/>
      </c>
    </row>
    <row r="236">
      <c r="A236" s="17" t="n"/>
      <c r="B236" s="17" t="n"/>
      <c r="C236" s="17" t="n"/>
      <c r="D236" s="18" t="n"/>
      <c r="E236" s="18" t="n"/>
      <c r="F236" s="19" t="n"/>
      <c r="G236" s="20" t="n"/>
      <c r="H236" s="21">
        <f>IF(AND(ISNUMBER(D236),ISNUMBER(E236)),E236-D236+1,"")</f>
        <v/>
      </c>
      <c r="I236" s="22">
        <f>IF(AND(ISNUMBER(F236),N(F236)&gt;0,ISNUMBER(G236)),G236/F236,"")</f>
        <v/>
      </c>
      <c r="J236" s="21">
        <f>IF(OR(A236="",B236=""),"",IF(C236=Yr_Cur,"CY",IF(C236=Yr_Prev,"PY","")))</f>
        <v/>
      </c>
      <c r="K236" s="21">
        <f>IF(J236="","",IF(J236="CY",SUMIFS(Dat_H,Dat_A,A236,Dat_B,B236,Dat_C,Yr_Prev),SUMIFS(Dat_H,Dat_A,A236,Dat_B,B236,Dat_C,Yr_Cur)))</f>
        <v/>
      </c>
      <c r="L236" s="21">
        <f>IF(J236="",0,IF(AND(ISNUMBER(H236),N(K236)&gt;0,ISNUMBER(F236),ISNUMBER(G236),OR(Sel_Market="All markets",A236=Sel_Market),COUNTIFS(Control!$B$11:$B$13,B236,Control!$C$11:$C$13,"Yes")&gt;0),1,0))</f>
        <v/>
      </c>
      <c r="M236" s="21">
        <f>IF(L236=1,IF(J236="CY",H236,K236),"")</f>
        <v/>
      </c>
      <c r="N236" s="21">
        <f>IF(L236=1,IF(J236="PY",H236,K236),"")</f>
        <v/>
      </c>
      <c r="O236" s="23">
        <f>IF(L236=1,IF(J236="PY",F236*M236/N236,F236),0)</f>
        <v/>
      </c>
      <c r="P236" s="23">
        <f>IF(L236=1,IF(J236="PY",G236*M236/N236,G236),0)</f>
        <v/>
      </c>
      <c r="Q236" s="23">
        <f>IF(AND(L236=1,J236="PY"),F236*(N236-M236)/N236,0)</f>
        <v/>
      </c>
      <c r="R236" s="23">
        <f>IF(AND(L236=1,J236="PY"),G236*(N236-M236)/N236,0)</f>
        <v/>
      </c>
      <c r="S236" s="21">
        <f>IF(COUNTA(A236:G236)=0,"",IF(OR(A236="",B236="",NOT(ISNUMBER(C236))),"Fill market, product and year",IF(COUNTIF(Control!$B$11:$B$13,B236)=0,"Unknown product",IF(COUNTIFS(Dat_A,A236,Dat_B,B236,Dat_C,C236)&gt;1,"Duplicate market/product/year",IF(OR(NOT(ISNUMBER(D236)),NOT(ISNUMBER(E236))),"Add launch date and Data through date",IF(E236&lt;D236,"Data through is before launch",IF(OR(NOT(ISNUMBER(F236)),NOT(ISNUMBER(G236))),"Add units and revenue","OK")))))))</f>
        <v/>
      </c>
    </row>
    <row r="237">
      <c r="A237" s="17" t="n"/>
      <c r="B237" s="17" t="n"/>
      <c r="C237" s="17" t="n"/>
      <c r="D237" s="18" t="n"/>
      <c r="E237" s="18" t="n"/>
      <c r="F237" s="19" t="n"/>
      <c r="G237" s="20" t="n"/>
      <c r="H237" s="21">
        <f>IF(AND(ISNUMBER(D237),ISNUMBER(E237)),E237-D237+1,"")</f>
        <v/>
      </c>
      <c r="I237" s="22">
        <f>IF(AND(ISNUMBER(F237),N(F237)&gt;0,ISNUMBER(G237)),G237/F237,"")</f>
        <v/>
      </c>
      <c r="J237" s="21">
        <f>IF(OR(A237="",B237=""),"",IF(C237=Yr_Cur,"CY",IF(C237=Yr_Prev,"PY","")))</f>
        <v/>
      </c>
      <c r="K237" s="21">
        <f>IF(J237="","",IF(J237="CY",SUMIFS(Dat_H,Dat_A,A237,Dat_B,B237,Dat_C,Yr_Prev),SUMIFS(Dat_H,Dat_A,A237,Dat_B,B237,Dat_C,Yr_Cur)))</f>
        <v/>
      </c>
      <c r="L237" s="21">
        <f>IF(J237="",0,IF(AND(ISNUMBER(H237),N(K237)&gt;0,ISNUMBER(F237),ISNUMBER(G237),OR(Sel_Market="All markets",A237=Sel_Market),COUNTIFS(Control!$B$11:$B$13,B237,Control!$C$11:$C$13,"Yes")&gt;0),1,0))</f>
        <v/>
      </c>
      <c r="M237" s="21">
        <f>IF(L237=1,IF(J237="CY",H237,K237),"")</f>
        <v/>
      </c>
      <c r="N237" s="21">
        <f>IF(L237=1,IF(J237="PY",H237,K237),"")</f>
        <v/>
      </c>
      <c r="O237" s="23">
        <f>IF(L237=1,IF(J237="PY",F237*M237/N237,F237),0)</f>
        <v/>
      </c>
      <c r="P237" s="23">
        <f>IF(L237=1,IF(J237="PY",G237*M237/N237,G237),0)</f>
        <v/>
      </c>
      <c r="Q237" s="23">
        <f>IF(AND(L237=1,J237="PY"),F237*(N237-M237)/N237,0)</f>
        <v/>
      </c>
      <c r="R237" s="23">
        <f>IF(AND(L237=1,J237="PY"),G237*(N237-M237)/N237,0)</f>
        <v/>
      </c>
      <c r="S237" s="21">
        <f>IF(COUNTA(A237:G237)=0,"",IF(OR(A237="",B237="",NOT(ISNUMBER(C237))),"Fill market, product and year",IF(COUNTIF(Control!$B$11:$B$13,B237)=0,"Unknown product",IF(COUNTIFS(Dat_A,A237,Dat_B,B237,Dat_C,C237)&gt;1,"Duplicate market/product/year",IF(OR(NOT(ISNUMBER(D237)),NOT(ISNUMBER(E237))),"Add launch date and Data through date",IF(E237&lt;D237,"Data through is before launch",IF(OR(NOT(ISNUMBER(F237)),NOT(ISNUMBER(G237))),"Add units and revenue","OK")))))))</f>
        <v/>
      </c>
    </row>
    <row r="238">
      <c r="A238" s="17" t="n"/>
      <c r="B238" s="17" t="n"/>
      <c r="C238" s="17" t="n"/>
      <c r="D238" s="18" t="n"/>
      <c r="E238" s="18" t="n"/>
      <c r="F238" s="19" t="n"/>
      <c r="G238" s="20" t="n"/>
      <c r="H238" s="21">
        <f>IF(AND(ISNUMBER(D238),ISNUMBER(E238)),E238-D238+1,"")</f>
        <v/>
      </c>
      <c r="I238" s="22">
        <f>IF(AND(ISNUMBER(F238),N(F238)&gt;0,ISNUMBER(G238)),G238/F238,"")</f>
        <v/>
      </c>
      <c r="J238" s="21">
        <f>IF(OR(A238="",B238=""),"",IF(C238=Yr_Cur,"CY",IF(C238=Yr_Prev,"PY","")))</f>
        <v/>
      </c>
      <c r="K238" s="21">
        <f>IF(J238="","",IF(J238="CY",SUMIFS(Dat_H,Dat_A,A238,Dat_B,B238,Dat_C,Yr_Prev),SUMIFS(Dat_H,Dat_A,A238,Dat_B,B238,Dat_C,Yr_Cur)))</f>
        <v/>
      </c>
      <c r="L238" s="21">
        <f>IF(J238="",0,IF(AND(ISNUMBER(H238),N(K238)&gt;0,ISNUMBER(F238),ISNUMBER(G238),OR(Sel_Market="All markets",A238=Sel_Market),COUNTIFS(Control!$B$11:$B$13,B238,Control!$C$11:$C$13,"Yes")&gt;0),1,0))</f>
        <v/>
      </c>
      <c r="M238" s="21">
        <f>IF(L238=1,IF(J238="CY",H238,K238),"")</f>
        <v/>
      </c>
      <c r="N238" s="21">
        <f>IF(L238=1,IF(J238="PY",H238,K238),"")</f>
        <v/>
      </c>
      <c r="O238" s="23">
        <f>IF(L238=1,IF(J238="PY",F238*M238/N238,F238),0)</f>
        <v/>
      </c>
      <c r="P238" s="23">
        <f>IF(L238=1,IF(J238="PY",G238*M238/N238,G238),0)</f>
        <v/>
      </c>
      <c r="Q238" s="23">
        <f>IF(AND(L238=1,J238="PY"),F238*(N238-M238)/N238,0)</f>
        <v/>
      </c>
      <c r="R238" s="23">
        <f>IF(AND(L238=1,J238="PY"),G238*(N238-M238)/N238,0)</f>
        <v/>
      </c>
      <c r="S238" s="21">
        <f>IF(COUNTA(A238:G238)=0,"",IF(OR(A238="",B238="",NOT(ISNUMBER(C238))),"Fill market, product and year",IF(COUNTIF(Control!$B$11:$B$13,B238)=0,"Unknown product",IF(COUNTIFS(Dat_A,A238,Dat_B,B238,Dat_C,C238)&gt;1,"Duplicate market/product/year",IF(OR(NOT(ISNUMBER(D238)),NOT(ISNUMBER(E238))),"Add launch date and Data through date",IF(E238&lt;D238,"Data through is before launch",IF(OR(NOT(ISNUMBER(F238)),NOT(ISNUMBER(G238))),"Add units and revenue","OK")))))))</f>
        <v/>
      </c>
    </row>
    <row r="239">
      <c r="A239" s="17" t="n"/>
      <c r="B239" s="17" t="n"/>
      <c r="C239" s="17" t="n"/>
      <c r="D239" s="18" t="n"/>
      <c r="E239" s="18" t="n"/>
      <c r="F239" s="19" t="n"/>
      <c r="G239" s="20" t="n"/>
      <c r="H239" s="21">
        <f>IF(AND(ISNUMBER(D239),ISNUMBER(E239)),E239-D239+1,"")</f>
        <v/>
      </c>
      <c r="I239" s="22">
        <f>IF(AND(ISNUMBER(F239),N(F239)&gt;0,ISNUMBER(G239)),G239/F239,"")</f>
        <v/>
      </c>
      <c r="J239" s="21">
        <f>IF(OR(A239="",B239=""),"",IF(C239=Yr_Cur,"CY",IF(C239=Yr_Prev,"PY","")))</f>
        <v/>
      </c>
      <c r="K239" s="21">
        <f>IF(J239="","",IF(J239="CY",SUMIFS(Dat_H,Dat_A,A239,Dat_B,B239,Dat_C,Yr_Prev),SUMIFS(Dat_H,Dat_A,A239,Dat_B,B239,Dat_C,Yr_Cur)))</f>
        <v/>
      </c>
      <c r="L239" s="21">
        <f>IF(J239="",0,IF(AND(ISNUMBER(H239),N(K239)&gt;0,ISNUMBER(F239),ISNUMBER(G239),OR(Sel_Market="All markets",A239=Sel_Market),COUNTIFS(Control!$B$11:$B$13,B239,Control!$C$11:$C$13,"Yes")&gt;0),1,0))</f>
        <v/>
      </c>
      <c r="M239" s="21">
        <f>IF(L239=1,IF(J239="CY",H239,K239),"")</f>
        <v/>
      </c>
      <c r="N239" s="21">
        <f>IF(L239=1,IF(J239="PY",H239,K239),"")</f>
        <v/>
      </c>
      <c r="O239" s="23">
        <f>IF(L239=1,IF(J239="PY",F239*M239/N239,F239),0)</f>
        <v/>
      </c>
      <c r="P239" s="23">
        <f>IF(L239=1,IF(J239="PY",G239*M239/N239,G239),0)</f>
        <v/>
      </c>
      <c r="Q239" s="23">
        <f>IF(AND(L239=1,J239="PY"),F239*(N239-M239)/N239,0)</f>
        <v/>
      </c>
      <c r="R239" s="23">
        <f>IF(AND(L239=1,J239="PY"),G239*(N239-M239)/N239,0)</f>
        <v/>
      </c>
      <c r="S239" s="21">
        <f>IF(COUNTA(A239:G239)=0,"",IF(OR(A239="",B239="",NOT(ISNUMBER(C239))),"Fill market, product and year",IF(COUNTIF(Control!$B$11:$B$13,B239)=0,"Unknown product",IF(COUNTIFS(Dat_A,A239,Dat_B,B239,Dat_C,C239)&gt;1,"Duplicate market/product/year",IF(OR(NOT(ISNUMBER(D239)),NOT(ISNUMBER(E239))),"Add launch date and Data through date",IF(E239&lt;D239,"Data through is before launch",IF(OR(NOT(ISNUMBER(F239)),NOT(ISNUMBER(G239))),"Add units and revenue","OK")))))))</f>
        <v/>
      </c>
    </row>
    <row r="240">
      <c r="A240" s="17" t="n"/>
      <c r="B240" s="17" t="n"/>
      <c r="C240" s="17" t="n"/>
      <c r="D240" s="18" t="n"/>
      <c r="E240" s="18" t="n"/>
      <c r="F240" s="19" t="n"/>
      <c r="G240" s="20" t="n"/>
      <c r="H240" s="21">
        <f>IF(AND(ISNUMBER(D240),ISNUMBER(E240)),E240-D240+1,"")</f>
        <v/>
      </c>
      <c r="I240" s="22">
        <f>IF(AND(ISNUMBER(F240),N(F240)&gt;0,ISNUMBER(G240)),G240/F240,"")</f>
        <v/>
      </c>
      <c r="J240" s="21">
        <f>IF(OR(A240="",B240=""),"",IF(C240=Yr_Cur,"CY",IF(C240=Yr_Prev,"PY","")))</f>
        <v/>
      </c>
      <c r="K240" s="21">
        <f>IF(J240="","",IF(J240="CY",SUMIFS(Dat_H,Dat_A,A240,Dat_B,B240,Dat_C,Yr_Prev),SUMIFS(Dat_H,Dat_A,A240,Dat_B,B240,Dat_C,Yr_Cur)))</f>
        <v/>
      </c>
      <c r="L240" s="21">
        <f>IF(J240="",0,IF(AND(ISNUMBER(H240),N(K240)&gt;0,ISNUMBER(F240),ISNUMBER(G240),OR(Sel_Market="All markets",A240=Sel_Market),COUNTIFS(Control!$B$11:$B$13,B240,Control!$C$11:$C$13,"Yes")&gt;0),1,0))</f>
        <v/>
      </c>
      <c r="M240" s="21">
        <f>IF(L240=1,IF(J240="CY",H240,K240),"")</f>
        <v/>
      </c>
      <c r="N240" s="21">
        <f>IF(L240=1,IF(J240="PY",H240,K240),"")</f>
        <v/>
      </c>
      <c r="O240" s="23">
        <f>IF(L240=1,IF(J240="PY",F240*M240/N240,F240),0)</f>
        <v/>
      </c>
      <c r="P240" s="23">
        <f>IF(L240=1,IF(J240="PY",G240*M240/N240,G240),0)</f>
        <v/>
      </c>
      <c r="Q240" s="23">
        <f>IF(AND(L240=1,J240="PY"),F240*(N240-M240)/N240,0)</f>
        <v/>
      </c>
      <c r="R240" s="23">
        <f>IF(AND(L240=1,J240="PY"),G240*(N240-M240)/N240,0)</f>
        <v/>
      </c>
      <c r="S240" s="21">
        <f>IF(COUNTA(A240:G240)=0,"",IF(OR(A240="",B240="",NOT(ISNUMBER(C240))),"Fill market, product and year",IF(COUNTIF(Control!$B$11:$B$13,B240)=0,"Unknown product",IF(COUNTIFS(Dat_A,A240,Dat_B,B240,Dat_C,C240)&gt;1,"Duplicate market/product/year",IF(OR(NOT(ISNUMBER(D240)),NOT(ISNUMBER(E240))),"Add launch date and Data through date",IF(E240&lt;D240,"Data through is before launch",IF(OR(NOT(ISNUMBER(F240)),NOT(ISNUMBER(G240))),"Add units and revenue","OK")))))))</f>
        <v/>
      </c>
    </row>
    <row r="241">
      <c r="A241" s="17" t="n"/>
      <c r="B241" s="17" t="n"/>
      <c r="C241" s="17" t="n"/>
      <c r="D241" s="18" t="n"/>
      <c r="E241" s="18" t="n"/>
      <c r="F241" s="19" t="n"/>
      <c r="G241" s="20" t="n"/>
      <c r="H241" s="21">
        <f>IF(AND(ISNUMBER(D241),ISNUMBER(E241)),E241-D241+1,"")</f>
        <v/>
      </c>
      <c r="I241" s="22">
        <f>IF(AND(ISNUMBER(F241),N(F241)&gt;0,ISNUMBER(G241)),G241/F241,"")</f>
        <v/>
      </c>
      <c r="J241" s="21">
        <f>IF(OR(A241="",B241=""),"",IF(C241=Yr_Cur,"CY",IF(C241=Yr_Prev,"PY","")))</f>
        <v/>
      </c>
      <c r="K241" s="21">
        <f>IF(J241="","",IF(J241="CY",SUMIFS(Dat_H,Dat_A,A241,Dat_B,B241,Dat_C,Yr_Prev),SUMIFS(Dat_H,Dat_A,A241,Dat_B,B241,Dat_C,Yr_Cur)))</f>
        <v/>
      </c>
      <c r="L241" s="21">
        <f>IF(J241="",0,IF(AND(ISNUMBER(H241),N(K241)&gt;0,ISNUMBER(F241),ISNUMBER(G241),OR(Sel_Market="All markets",A241=Sel_Market),COUNTIFS(Control!$B$11:$B$13,B241,Control!$C$11:$C$13,"Yes")&gt;0),1,0))</f>
        <v/>
      </c>
      <c r="M241" s="21">
        <f>IF(L241=1,IF(J241="CY",H241,K241),"")</f>
        <v/>
      </c>
      <c r="N241" s="21">
        <f>IF(L241=1,IF(J241="PY",H241,K241),"")</f>
        <v/>
      </c>
      <c r="O241" s="23">
        <f>IF(L241=1,IF(J241="PY",F241*M241/N241,F241),0)</f>
        <v/>
      </c>
      <c r="P241" s="23">
        <f>IF(L241=1,IF(J241="PY",G241*M241/N241,G241),0)</f>
        <v/>
      </c>
      <c r="Q241" s="23">
        <f>IF(AND(L241=1,J241="PY"),F241*(N241-M241)/N241,0)</f>
        <v/>
      </c>
      <c r="R241" s="23">
        <f>IF(AND(L241=1,J241="PY"),G241*(N241-M241)/N241,0)</f>
        <v/>
      </c>
      <c r="S241" s="21">
        <f>IF(COUNTA(A241:G241)=0,"",IF(OR(A241="",B241="",NOT(ISNUMBER(C241))),"Fill market, product and year",IF(COUNTIF(Control!$B$11:$B$13,B241)=0,"Unknown product",IF(COUNTIFS(Dat_A,A241,Dat_B,B241,Dat_C,C241)&gt;1,"Duplicate market/product/year",IF(OR(NOT(ISNUMBER(D241)),NOT(ISNUMBER(E241))),"Add launch date and Data through date",IF(E241&lt;D241,"Data through is before launch",IF(OR(NOT(ISNUMBER(F241)),NOT(ISNUMBER(G241))),"Add units and revenue","OK")))))))</f>
        <v/>
      </c>
    </row>
    <row r="242">
      <c r="A242" s="17" t="n"/>
      <c r="B242" s="17" t="n"/>
      <c r="C242" s="17" t="n"/>
      <c r="D242" s="18" t="n"/>
      <c r="E242" s="18" t="n"/>
      <c r="F242" s="19" t="n"/>
      <c r="G242" s="20" t="n"/>
      <c r="H242" s="21">
        <f>IF(AND(ISNUMBER(D242),ISNUMBER(E242)),E242-D242+1,"")</f>
        <v/>
      </c>
      <c r="I242" s="22">
        <f>IF(AND(ISNUMBER(F242),N(F242)&gt;0,ISNUMBER(G242)),G242/F242,"")</f>
        <v/>
      </c>
      <c r="J242" s="21">
        <f>IF(OR(A242="",B242=""),"",IF(C242=Yr_Cur,"CY",IF(C242=Yr_Prev,"PY","")))</f>
        <v/>
      </c>
      <c r="K242" s="21">
        <f>IF(J242="","",IF(J242="CY",SUMIFS(Dat_H,Dat_A,A242,Dat_B,B242,Dat_C,Yr_Prev),SUMIFS(Dat_H,Dat_A,A242,Dat_B,B242,Dat_C,Yr_Cur)))</f>
        <v/>
      </c>
      <c r="L242" s="21">
        <f>IF(J242="",0,IF(AND(ISNUMBER(H242),N(K242)&gt;0,ISNUMBER(F242),ISNUMBER(G242),OR(Sel_Market="All markets",A242=Sel_Market),COUNTIFS(Control!$B$11:$B$13,B242,Control!$C$11:$C$13,"Yes")&gt;0),1,0))</f>
        <v/>
      </c>
      <c r="M242" s="21">
        <f>IF(L242=1,IF(J242="CY",H242,K242),"")</f>
        <v/>
      </c>
      <c r="N242" s="21">
        <f>IF(L242=1,IF(J242="PY",H242,K242),"")</f>
        <v/>
      </c>
      <c r="O242" s="23">
        <f>IF(L242=1,IF(J242="PY",F242*M242/N242,F242),0)</f>
        <v/>
      </c>
      <c r="P242" s="23">
        <f>IF(L242=1,IF(J242="PY",G242*M242/N242,G242),0)</f>
        <v/>
      </c>
      <c r="Q242" s="23">
        <f>IF(AND(L242=1,J242="PY"),F242*(N242-M242)/N242,0)</f>
        <v/>
      </c>
      <c r="R242" s="23">
        <f>IF(AND(L242=1,J242="PY"),G242*(N242-M242)/N242,0)</f>
        <v/>
      </c>
      <c r="S242" s="21">
        <f>IF(COUNTA(A242:G242)=0,"",IF(OR(A242="",B242="",NOT(ISNUMBER(C242))),"Fill market, product and year",IF(COUNTIF(Control!$B$11:$B$13,B242)=0,"Unknown product",IF(COUNTIFS(Dat_A,A242,Dat_B,B242,Dat_C,C242)&gt;1,"Duplicate market/product/year",IF(OR(NOT(ISNUMBER(D242)),NOT(ISNUMBER(E242))),"Add launch date and Data through date",IF(E242&lt;D242,"Data through is before launch",IF(OR(NOT(ISNUMBER(F242)),NOT(ISNUMBER(G242))),"Add units and revenue","OK")))))))</f>
        <v/>
      </c>
    </row>
    <row r="243">
      <c r="A243" s="17" t="n"/>
      <c r="B243" s="17" t="n"/>
      <c r="C243" s="17" t="n"/>
      <c r="D243" s="18" t="n"/>
      <c r="E243" s="18" t="n"/>
      <c r="F243" s="19" t="n"/>
      <c r="G243" s="20" t="n"/>
      <c r="H243" s="21">
        <f>IF(AND(ISNUMBER(D243),ISNUMBER(E243)),E243-D243+1,"")</f>
        <v/>
      </c>
      <c r="I243" s="22">
        <f>IF(AND(ISNUMBER(F243),N(F243)&gt;0,ISNUMBER(G243)),G243/F243,"")</f>
        <v/>
      </c>
      <c r="J243" s="21">
        <f>IF(OR(A243="",B243=""),"",IF(C243=Yr_Cur,"CY",IF(C243=Yr_Prev,"PY","")))</f>
        <v/>
      </c>
      <c r="K243" s="21">
        <f>IF(J243="","",IF(J243="CY",SUMIFS(Dat_H,Dat_A,A243,Dat_B,B243,Dat_C,Yr_Prev),SUMIFS(Dat_H,Dat_A,A243,Dat_B,B243,Dat_C,Yr_Cur)))</f>
        <v/>
      </c>
      <c r="L243" s="21">
        <f>IF(J243="",0,IF(AND(ISNUMBER(H243),N(K243)&gt;0,ISNUMBER(F243),ISNUMBER(G243),OR(Sel_Market="All markets",A243=Sel_Market),COUNTIFS(Control!$B$11:$B$13,B243,Control!$C$11:$C$13,"Yes")&gt;0),1,0))</f>
        <v/>
      </c>
      <c r="M243" s="21">
        <f>IF(L243=1,IF(J243="CY",H243,K243),"")</f>
        <v/>
      </c>
      <c r="N243" s="21">
        <f>IF(L243=1,IF(J243="PY",H243,K243),"")</f>
        <v/>
      </c>
      <c r="O243" s="23">
        <f>IF(L243=1,IF(J243="PY",F243*M243/N243,F243),0)</f>
        <v/>
      </c>
      <c r="P243" s="23">
        <f>IF(L243=1,IF(J243="PY",G243*M243/N243,G243),0)</f>
        <v/>
      </c>
      <c r="Q243" s="23">
        <f>IF(AND(L243=1,J243="PY"),F243*(N243-M243)/N243,0)</f>
        <v/>
      </c>
      <c r="R243" s="23">
        <f>IF(AND(L243=1,J243="PY"),G243*(N243-M243)/N243,0)</f>
        <v/>
      </c>
      <c r="S243" s="21">
        <f>IF(COUNTA(A243:G243)=0,"",IF(OR(A243="",B243="",NOT(ISNUMBER(C243))),"Fill market, product and year",IF(COUNTIF(Control!$B$11:$B$13,B243)=0,"Unknown product",IF(COUNTIFS(Dat_A,A243,Dat_B,B243,Dat_C,C243)&gt;1,"Duplicate market/product/year",IF(OR(NOT(ISNUMBER(D243)),NOT(ISNUMBER(E243))),"Add launch date and Data through date",IF(E243&lt;D243,"Data through is before launch",IF(OR(NOT(ISNUMBER(F243)),NOT(ISNUMBER(G243))),"Add units and revenue","OK")))))))</f>
        <v/>
      </c>
    </row>
    <row r="244">
      <c r="A244" s="17" t="n"/>
      <c r="B244" s="17" t="n"/>
      <c r="C244" s="17" t="n"/>
      <c r="D244" s="18" t="n"/>
      <c r="E244" s="18" t="n"/>
      <c r="F244" s="19" t="n"/>
      <c r="G244" s="20" t="n"/>
      <c r="H244" s="21">
        <f>IF(AND(ISNUMBER(D244),ISNUMBER(E244)),E244-D244+1,"")</f>
        <v/>
      </c>
      <c r="I244" s="22">
        <f>IF(AND(ISNUMBER(F244),N(F244)&gt;0,ISNUMBER(G244)),G244/F244,"")</f>
        <v/>
      </c>
      <c r="J244" s="21">
        <f>IF(OR(A244="",B244=""),"",IF(C244=Yr_Cur,"CY",IF(C244=Yr_Prev,"PY","")))</f>
        <v/>
      </c>
      <c r="K244" s="21">
        <f>IF(J244="","",IF(J244="CY",SUMIFS(Dat_H,Dat_A,A244,Dat_B,B244,Dat_C,Yr_Prev),SUMIFS(Dat_H,Dat_A,A244,Dat_B,B244,Dat_C,Yr_Cur)))</f>
        <v/>
      </c>
      <c r="L244" s="21">
        <f>IF(J244="",0,IF(AND(ISNUMBER(H244),N(K244)&gt;0,ISNUMBER(F244),ISNUMBER(G244),OR(Sel_Market="All markets",A244=Sel_Market),COUNTIFS(Control!$B$11:$B$13,B244,Control!$C$11:$C$13,"Yes")&gt;0),1,0))</f>
        <v/>
      </c>
      <c r="M244" s="21">
        <f>IF(L244=1,IF(J244="CY",H244,K244),"")</f>
        <v/>
      </c>
      <c r="N244" s="21">
        <f>IF(L244=1,IF(J244="PY",H244,K244),"")</f>
        <v/>
      </c>
      <c r="O244" s="23">
        <f>IF(L244=1,IF(J244="PY",F244*M244/N244,F244),0)</f>
        <v/>
      </c>
      <c r="P244" s="23">
        <f>IF(L244=1,IF(J244="PY",G244*M244/N244,G244),0)</f>
        <v/>
      </c>
      <c r="Q244" s="23">
        <f>IF(AND(L244=1,J244="PY"),F244*(N244-M244)/N244,0)</f>
        <v/>
      </c>
      <c r="R244" s="23">
        <f>IF(AND(L244=1,J244="PY"),G244*(N244-M244)/N244,0)</f>
        <v/>
      </c>
      <c r="S244" s="21">
        <f>IF(COUNTA(A244:G244)=0,"",IF(OR(A244="",B244="",NOT(ISNUMBER(C244))),"Fill market, product and year",IF(COUNTIF(Control!$B$11:$B$13,B244)=0,"Unknown product",IF(COUNTIFS(Dat_A,A244,Dat_B,B244,Dat_C,C244)&gt;1,"Duplicate market/product/year",IF(OR(NOT(ISNUMBER(D244)),NOT(ISNUMBER(E244))),"Add launch date and Data through date",IF(E244&lt;D244,"Data through is before launch",IF(OR(NOT(ISNUMBER(F244)),NOT(ISNUMBER(G244))),"Add units and revenue","OK")))))))</f>
        <v/>
      </c>
    </row>
    <row r="245">
      <c r="A245" s="17" t="n"/>
      <c r="B245" s="17" t="n"/>
      <c r="C245" s="17" t="n"/>
      <c r="D245" s="18" t="n"/>
      <c r="E245" s="18" t="n"/>
      <c r="F245" s="19" t="n"/>
      <c r="G245" s="20" t="n"/>
      <c r="H245" s="21">
        <f>IF(AND(ISNUMBER(D245),ISNUMBER(E245)),E245-D245+1,"")</f>
        <v/>
      </c>
      <c r="I245" s="22">
        <f>IF(AND(ISNUMBER(F245),N(F245)&gt;0,ISNUMBER(G245)),G245/F245,"")</f>
        <v/>
      </c>
      <c r="J245" s="21">
        <f>IF(OR(A245="",B245=""),"",IF(C245=Yr_Cur,"CY",IF(C245=Yr_Prev,"PY","")))</f>
        <v/>
      </c>
      <c r="K245" s="21">
        <f>IF(J245="","",IF(J245="CY",SUMIFS(Dat_H,Dat_A,A245,Dat_B,B245,Dat_C,Yr_Prev),SUMIFS(Dat_H,Dat_A,A245,Dat_B,B245,Dat_C,Yr_Cur)))</f>
        <v/>
      </c>
      <c r="L245" s="21">
        <f>IF(J245="",0,IF(AND(ISNUMBER(H245),N(K245)&gt;0,ISNUMBER(F245),ISNUMBER(G245),OR(Sel_Market="All markets",A245=Sel_Market),COUNTIFS(Control!$B$11:$B$13,B245,Control!$C$11:$C$13,"Yes")&gt;0),1,0))</f>
        <v/>
      </c>
      <c r="M245" s="21">
        <f>IF(L245=1,IF(J245="CY",H245,K245),"")</f>
        <v/>
      </c>
      <c r="N245" s="21">
        <f>IF(L245=1,IF(J245="PY",H245,K245),"")</f>
        <v/>
      </c>
      <c r="O245" s="23">
        <f>IF(L245=1,IF(J245="PY",F245*M245/N245,F245),0)</f>
        <v/>
      </c>
      <c r="P245" s="23">
        <f>IF(L245=1,IF(J245="PY",G245*M245/N245,G245),0)</f>
        <v/>
      </c>
      <c r="Q245" s="23">
        <f>IF(AND(L245=1,J245="PY"),F245*(N245-M245)/N245,0)</f>
        <v/>
      </c>
      <c r="R245" s="23">
        <f>IF(AND(L245=1,J245="PY"),G245*(N245-M245)/N245,0)</f>
        <v/>
      </c>
      <c r="S245" s="21">
        <f>IF(COUNTA(A245:G245)=0,"",IF(OR(A245="",B245="",NOT(ISNUMBER(C245))),"Fill market, product and year",IF(COUNTIF(Control!$B$11:$B$13,B245)=0,"Unknown product",IF(COUNTIFS(Dat_A,A245,Dat_B,B245,Dat_C,C245)&gt;1,"Duplicate market/product/year",IF(OR(NOT(ISNUMBER(D245)),NOT(ISNUMBER(E245))),"Add launch date and Data through date",IF(E245&lt;D245,"Data through is before launch",IF(OR(NOT(ISNUMBER(F245)),NOT(ISNUMBER(G245))),"Add units and revenue","OK")))))))</f>
        <v/>
      </c>
    </row>
    <row r="246">
      <c r="A246" s="17" t="n"/>
      <c r="B246" s="17" t="n"/>
      <c r="C246" s="17" t="n"/>
      <c r="D246" s="18" t="n"/>
      <c r="E246" s="18" t="n"/>
      <c r="F246" s="19" t="n"/>
      <c r="G246" s="20" t="n"/>
      <c r="H246" s="21">
        <f>IF(AND(ISNUMBER(D246),ISNUMBER(E246)),E246-D246+1,"")</f>
        <v/>
      </c>
      <c r="I246" s="22">
        <f>IF(AND(ISNUMBER(F246),N(F246)&gt;0,ISNUMBER(G246)),G246/F246,"")</f>
        <v/>
      </c>
      <c r="J246" s="21">
        <f>IF(OR(A246="",B246=""),"",IF(C246=Yr_Cur,"CY",IF(C246=Yr_Prev,"PY","")))</f>
        <v/>
      </c>
      <c r="K246" s="21">
        <f>IF(J246="","",IF(J246="CY",SUMIFS(Dat_H,Dat_A,A246,Dat_B,B246,Dat_C,Yr_Prev),SUMIFS(Dat_H,Dat_A,A246,Dat_B,B246,Dat_C,Yr_Cur)))</f>
        <v/>
      </c>
      <c r="L246" s="21">
        <f>IF(J246="",0,IF(AND(ISNUMBER(H246),N(K246)&gt;0,ISNUMBER(F246),ISNUMBER(G246),OR(Sel_Market="All markets",A246=Sel_Market),COUNTIFS(Control!$B$11:$B$13,B246,Control!$C$11:$C$13,"Yes")&gt;0),1,0))</f>
        <v/>
      </c>
      <c r="M246" s="21">
        <f>IF(L246=1,IF(J246="CY",H246,K246),"")</f>
        <v/>
      </c>
      <c r="N246" s="21">
        <f>IF(L246=1,IF(J246="PY",H246,K246),"")</f>
        <v/>
      </c>
      <c r="O246" s="23">
        <f>IF(L246=1,IF(J246="PY",F246*M246/N246,F246),0)</f>
        <v/>
      </c>
      <c r="P246" s="23">
        <f>IF(L246=1,IF(J246="PY",G246*M246/N246,G246),0)</f>
        <v/>
      </c>
      <c r="Q246" s="23">
        <f>IF(AND(L246=1,J246="PY"),F246*(N246-M246)/N246,0)</f>
        <v/>
      </c>
      <c r="R246" s="23">
        <f>IF(AND(L246=1,J246="PY"),G246*(N246-M246)/N246,0)</f>
        <v/>
      </c>
      <c r="S246" s="21">
        <f>IF(COUNTA(A246:G246)=0,"",IF(OR(A246="",B246="",NOT(ISNUMBER(C246))),"Fill market, product and year",IF(COUNTIF(Control!$B$11:$B$13,B246)=0,"Unknown product",IF(COUNTIFS(Dat_A,A246,Dat_B,B246,Dat_C,C246)&gt;1,"Duplicate market/product/year",IF(OR(NOT(ISNUMBER(D246)),NOT(ISNUMBER(E246))),"Add launch date and Data through date",IF(E246&lt;D246,"Data through is before launch",IF(OR(NOT(ISNUMBER(F246)),NOT(ISNUMBER(G246))),"Add units and revenue","OK")))))))</f>
        <v/>
      </c>
    </row>
    <row r="247">
      <c r="A247" s="17" t="n"/>
      <c r="B247" s="17" t="n"/>
      <c r="C247" s="17" t="n"/>
      <c r="D247" s="18" t="n"/>
      <c r="E247" s="18" t="n"/>
      <c r="F247" s="19" t="n"/>
      <c r="G247" s="20" t="n"/>
      <c r="H247" s="21">
        <f>IF(AND(ISNUMBER(D247),ISNUMBER(E247)),E247-D247+1,"")</f>
        <v/>
      </c>
      <c r="I247" s="22">
        <f>IF(AND(ISNUMBER(F247),N(F247)&gt;0,ISNUMBER(G247)),G247/F247,"")</f>
        <v/>
      </c>
      <c r="J247" s="21">
        <f>IF(OR(A247="",B247=""),"",IF(C247=Yr_Cur,"CY",IF(C247=Yr_Prev,"PY","")))</f>
        <v/>
      </c>
      <c r="K247" s="21">
        <f>IF(J247="","",IF(J247="CY",SUMIFS(Dat_H,Dat_A,A247,Dat_B,B247,Dat_C,Yr_Prev),SUMIFS(Dat_H,Dat_A,A247,Dat_B,B247,Dat_C,Yr_Cur)))</f>
        <v/>
      </c>
      <c r="L247" s="21">
        <f>IF(J247="",0,IF(AND(ISNUMBER(H247),N(K247)&gt;0,ISNUMBER(F247),ISNUMBER(G247),OR(Sel_Market="All markets",A247=Sel_Market),COUNTIFS(Control!$B$11:$B$13,B247,Control!$C$11:$C$13,"Yes")&gt;0),1,0))</f>
        <v/>
      </c>
      <c r="M247" s="21">
        <f>IF(L247=1,IF(J247="CY",H247,K247),"")</f>
        <v/>
      </c>
      <c r="N247" s="21">
        <f>IF(L247=1,IF(J247="PY",H247,K247),"")</f>
        <v/>
      </c>
      <c r="O247" s="23">
        <f>IF(L247=1,IF(J247="PY",F247*M247/N247,F247),0)</f>
        <v/>
      </c>
      <c r="P247" s="23">
        <f>IF(L247=1,IF(J247="PY",G247*M247/N247,G247),0)</f>
        <v/>
      </c>
      <c r="Q247" s="23">
        <f>IF(AND(L247=1,J247="PY"),F247*(N247-M247)/N247,0)</f>
        <v/>
      </c>
      <c r="R247" s="23">
        <f>IF(AND(L247=1,J247="PY"),G247*(N247-M247)/N247,0)</f>
        <v/>
      </c>
      <c r="S247" s="21">
        <f>IF(COUNTA(A247:G247)=0,"",IF(OR(A247="",B247="",NOT(ISNUMBER(C247))),"Fill market, product and year",IF(COUNTIF(Control!$B$11:$B$13,B247)=0,"Unknown product",IF(COUNTIFS(Dat_A,A247,Dat_B,B247,Dat_C,C247)&gt;1,"Duplicate market/product/year",IF(OR(NOT(ISNUMBER(D247)),NOT(ISNUMBER(E247))),"Add launch date and Data through date",IF(E247&lt;D247,"Data through is before launch",IF(OR(NOT(ISNUMBER(F247)),NOT(ISNUMBER(G247))),"Add units and revenue","OK")))))))</f>
        <v/>
      </c>
    </row>
    <row r="248">
      <c r="A248" s="17" t="n"/>
      <c r="B248" s="17" t="n"/>
      <c r="C248" s="17" t="n"/>
      <c r="D248" s="18" t="n"/>
      <c r="E248" s="18" t="n"/>
      <c r="F248" s="19" t="n"/>
      <c r="G248" s="20" t="n"/>
      <c r="H248" s="21">
        <f>IF(AND(ISNUMBER(D248),ISNUMBER(E248)),E248-D248+1,"")</f>
        <v/>
      </c>
      <c r="I248" s="22">
        <f>IF(AND(ISNUMBER(F248),N(F248)&gt;0,ISNUMBER(G248)),G248/F248,"")</f>
        <v/>
      </c>
      <c r="J248" s="21">
        <f>IF(OR(A248="",B248=""),"",IF(C248=Yr_Cur,"CY",IF(C248=Yr_Prev,"PY","")))</f>
        <v/>
      </c>
      <c r="K248" s="21">
        <f>IF(J248="","",IF(J248="CY",SUMIFS(Dat_H,Dat_A,A248,Dat_B,B248,Dat_C,Yr_Prev),SUMIFS(Dat_H,Dat_A,A248,Dat_B,B248,Dat_C,Yr_Cur)))</f>
        <v/>
      </c>
      <c r="L248" s="21">
        <f>IF(J248="",0,IF(AND(ISNUMBER(H248),N(K248)&gt;0,ISNUMBER(F248),ISNUMBER(G248),OR(Sel_Market="All markets",A248=Sel_Market),COUNTIFS(Control!$B$11:$B$13,B248,Control!$C$11:$C$13,"Yes")&gt;0),1,0))</f>
        <v/>
      </c>
      <c r="M248" s="21">
        <f>IF(L248=1,IF(J248="CY",H248,K248),"")</f>
        <v/>
      </c>
      <c r="N248" s="21">
        <f>IF(L248=1,IF(J248="PY",H248,K248),"")</f>
        <v/>
      </c>
      <c r="O248" s="23">
        <f>IF(L248=1,IF(J248="PY",F248*M248/N248,F248),0)</f>
        <v/>
      </c>
      <c r="P248" s="23">
        <f>IF(L248=1,IF(J248="PY",G248*M248/N248,G248),0)</f>
        <v/>
      </c>
      <c r="Q248" s="23">
        <f>IF(AND(L248=1,J248="PY"),F248*(N248-M248)/N248,0)</f>
        <v/>
      </c>
      <c r="R248" s="23">
        <f>IF(AND(L248=1,J248="PY"),G248*(N248-M248)/N248,0)</f>
        <v/>
      </c>
      <c r="S248" s="21">
        <f>IF(COUNTA(A248:G248)=0,"",IF(OR(A248="",B248="",NOT(ISNUMBER(C248))),"Fill market, product and year",IF(COUNTIF(Control!$B$11:$B$13,B248)=0,"Unknown product",IF(COUNTIFS(Dat_A,A248,Dat_B,B248,Dat_C,C248)&gt;1,"Duplicate market/product/year",IF(OR(NOT(ISNUMBER(D248)),NOT(ISNUMBER(E248))),"Add launch date and Data through date",IF(E248&lt;D248,"Data through is before launch",IF(OR(NOT(ISNUMBER(F248)),NOT(ISNUMBER(G248))),"Add units and revenue","OK")))))))</f>
        <v/>
      </c>
    </row>
    <row r="249">
      <c r="A249" s="17" t="n"/>
      <c r="B249" s="17" t="n"/>
      <c r="C249" s="17" t="n"/>
      <c r="D249" s="18" t="n"/>
      <c r="E249" s="18" t="n"/>
      <c r="F249" s="19" t="n"/>
      <c r="G249" s="20" t="n"/>
      <c r="H249" s="21">
        <f>IF(AND(ISNUMBER(D249),ISNUMBER(E249)),E249-D249+1,"")</f>
        <v/>
      </c>
      <c r="I249" s="22">
        <f>IF(AND(ISNUMBER(F249),N(F249)&gt;0,ISNUMBER(G249)),G249/F249,"")</f>
        <v/>
      </c>
      <c r="J249" s="21">
        <f>IF(OR(A249="",B249=""),"",IF(C249=Yr_Cur,"CY",IF(C249=Yr_Prev,"PY","")))</f>
        <v/>
      </c>
      <c r="K249" s="21">
        <f>IF(J249="","",IF(J249="CY",SUMIFS(Dat_H,Dat_A,A249,Dat_B,B249,Dat_C,Yr_Prev),SUMIFS(Dat_H,Dat_A,A249,Dat_B,B249,Dat_C,Yr_Cur)))</f>
        <v/>
      </c>
      <c r="L249" s="21">
        <f>IF(J249="",0,IF(AND(ISNUMBER(H249),N(K249)&gt;0,ISNUMBER(F249),ISNUMBER(G249),OR(Sel_Market="All markets",A249=Sel_Market),COUNTIFS(Control!$B$11:$B$13,B249,Control!$C$11:$C$13,"Yes")&gt;0),1,0))</f>
        <v/>
      </c>
      <c r="M249" s="21">
        <f>IF(L249=1,IF(J249="CY",H249,K249),"")</f>
        <v/>
      </c>
      <c r="N249" s="21">
        <f>IF(L249=1,IF(J249="PY",H249,K249),"")</f>
        <v/>
      </c>
      <c r="O249" s="23">
        <f>IF(L249=1,IF(J249="PY",F249*M249/N249,F249),0)</f>
        <v/>
      </c>
      <c r="P249" s="23">
        <f>IF(L249=1,IF(J249="PY",G249*M249/N249,G249),0)</f>
        <v/>
      </c>
      <c r="Q249" s="23">
        <f>IF(AND(L249=1,J249="PY"),F249*(N249-M249)/N249,0)</f>
        <v/>
      </c>
      <c r="R249" s="23">
        <f>IF(AND(L249=1,J249="PY"),G249*(N249-M249)/N249,0)</f>
        <v/>
      </c>
      <c r="S249" s="21">
        <f>IF(COUNTA(A249:G249)=0,"",IF(OR(A249="",B249="",NOT(ISNUMBER(C249))),"Fill market, product and year",IF(COUNTIF(Control!$B$11:$B$13,B249)=0,"Unknown product",IF(COUNTIFS(Dat_A,A249,Dat_B,B249,Dat_C,C249)&gt;1,"Duplicate market/product/year",IF(OR(NOT(ISNUMBER(D249)),NOT(ISNUMBER(E249))),"Add launch date and Data through date",IF(E249&lt;D249,"Data through is before launch",IF(OR(NOT(ISNUMBER(F249)),NOT(ISNUMBER(G249))),"Add units and revenue","OK")))))))</f>
        <v/>
      </c>
    </row>
    <row r="250">
      <c r="A250" s="17" t="n"/>
      <c r="B250" s="17" t="n"/>
      <c r="C250" s="17" t="n"/>
      <c r="D250" s="18" t="n"/>
      <c r="E250" s="18" t="n"/>
      <c r="F250" s="19" t="n"/>
      <c r="G250" s="20" t="n"/>
      <c r="H250" s="21">
        <f>IF(AND(ISNUMBER(D250),ISNUMBER(E250)),E250-D250+1,"")</f>
        <v/>
      </c>
      <c r="I250" s="22">
        <f>IF(AND(ISNUMBER(F250),N(F250)&gt;0,ISNUMBER(G250)),G250/F250,"")</f>
        <v/>
      </c>
      <c r="J250" s="21">
        <f>IF(OR(A250="",B250=""),"",IF(C250=Yr_Cur,"CY",IF(C250=Yr_Prev,"PY","")))</f>
        <v/>
      </c>
      <c r="K250" s="21">
        <f>IF(J250="","",IF(J250="CY",SUMIFS(Dat_H,Dat_A,A250,Dat_B,B250,Dat_C,Yr_Prev),SUMIFS(Dat_H,Dat_A,A250,Dat_B,B250,Dat_C,Yr_Cur)))</f>
        <v/>
      </c>
      <c r="L250" s="21">
        <f>IF(J250="",0,IF(AND(ISNUMBER(H250),N(K250)&gt;0,ISNUMBER(F250),ISNUMBER(G250),OR(Sel_Market="All markets",A250=Sel_Market),COUNTIFS(Control!$B$11:$B$13,B250,Control!$C$11:$C$13,"Yes")&gt;0),1,0))</f>
        <v/>
      </c>
      <c r="M250" s="21">
        <f>IF(L250=1,IF(J250="CY",H250,K250),"")</f>
        <v/>
      </c>
      <c r="N250" s="21">
        <f>IF(L250=1,IF(J250="PY",H250,K250),"")</f>
        <v/>
      </c>
      <c r="O250" s="23">
        <f>IF(L250=1,IF(J250="PY",F250*M250/N250,F250),0)</f>
        <v/>
      </c>
      <c r="P250" s="23">
        <f>IF(L250=1,IF(J250="PY",G250*M250/N250,G250),0)</f>
        <v/>
      </c>
      <c r="Q250" s="23">
        <f>IF(AND(L250=1,J250="PY"),F250*(N250-M250)/N250,0)</f>
        <v/>
      </c>
      <c r="R250" s="23">
        <f>IF(AND(L250=1,J250="PY"),G250*(N250-M250)/N250,0)</f>
        <v/>
      </c>
      <c r="S250" s="21">
        <f>IF(COUNTA(A250:G250)=0,"",IF(OR(A250="",B250="",NOT(ISNUMBER(C250))),"Fill market, product and year",IF(COUNTIF(Control!$B$11:$B$13,B250)=0,"Unknown product",IF(COUNTIFS(Dat_A,A250,Dat_B,B250,Dat_C,C250)&gt;1,"Duplicate market/product/year",IF(OR(NOT(ISNUMBER(D250)),NOT(ISNUMBER(E250))),"Add launch date and Data through date",IF(E250&lt;D250,"Data through is before launch",IF(OR(NOT(ISNUMBER(F250)),NOT(ISNUMBER(G250))),"Add units and revenue","OK")))))))</f>
        <v/>
      </c>
    </row>
    <row r="251">
      <c r="A251" s="17" t="n"/>
      <c r="B251" s="17" t="n"/>
      <c r="C251" s="17" t="n"/>
      <c r="D251" s="18" t="n"/>
      <c r="E251" s="18" t="n"/>
      <c r="F251" s="19" t="n"/>
      <c r="G251" s="20" t="n"/>
      <c r="H251" s="21">
        <f>IF(AND(ISNUMBER(D251),ISNUMBER(E251)),E251-D251+1,"")</f>
        <v/>
      </c>
      <c r="I251" s="22">
        <f>IF(AND(ISNUMBER(F251),N(F251)&gt;0,ISNUMBER(G251)),G251/F251,"")</f>
        <v/>
      </c>
      <c r="J251" s="21">
        <f>IF(OR(A251="",B251=""),"",IF(C251=Yr_Cur,"CY",IF(C251=Yr_Prev,"PY","")))</f>
        <v/>
      </c>
      <c r="K251" s="21">
        <f>IF(J251="","",IF(J251="CY",SUMIFS(Dat_H,Dat_A,A251,Dat_B,B251,Dat_C,Yr_Prev),SUMIFS(Dat_H,Dat_A,A251,Dat_B,B251,Dat_C,Yr_Cur)))</f>
        <v/>
      </c>
      <c r="L251" s="21">
        <f>IF(J251="",0,IF(AND(ISNUMBER(H251),N(K251)&gt;0,ISNUMBER(F251),ISNUMBER(G251),OR(Sel_Market="All markets",A251=Sel_Market),COUNTIFS(Control!$B$11:$B$13,B251,Control!$C$11:$C$13,"Yes")&gt;0),1,0))</f>
        <v/>
      </c>
      <c r="M251" s="21">
        <f>IF(L251=1,IF(J251="CY",H251,K251),"")</f>
        <v/>
      </c>
      <c r="N251" s="21">
        <f>IF(L251=1,IF(J251="PY",H251,K251),"")</f>
        <v/>
      </c>
      <c r="O251" s="23">
        <f>IF(L251=1,IF(J251="PY",F251*M251/N251,F251),0)</f>
        <v/>
      </c>
      <c r="P251" s="23">
        <f>IF(L251=1,IF(J251="PY",G251*M251/N251,G251),0)</f>
        <v/>
      </c>
      <c r="Q251" s="23">
        <f>IF(AND(L251=1,J251="PY"),F251*(N251-M251)/N251,0)</f>
        <v/>
      </c>
      <c r="R251" s="23">
        <f>IF(AND(L251=1,J251="PY"),G251*(N251-M251)/N251,0)</f>
        <v/>
      </c>
      <c r="S251" s="21">
        <f>IF(COUNTA(A251:G251)=0,"",IF(OR(A251="",B251="",NOT(ISNUMBER(C251))),"Fill market, product and year",IF(COUNTIF(Control!$B$11:$B$13,B251)=0,"Unknown product",IF(COUNTIFS(Dat_A,A251,Dat_B,B251,Dat_C,C251)&gt;1,"Duplicate market/product/year",IF(OR(NOT(ISNUMBER(D251)),NOT(ISNUMBER(E251))),"Add launch date and Data through date",IF(E251&lt;D251,"Data through is before launch",IF(OR(NOT(ISNUMBER(F251)),NOT(ISNUMBER(G251))),"Add units and revenue","OK")))))))</f>
        <v/>
      </c>
    </row>
    <row r="252">
      <c r="A252" s="17" t="n"/>
      <c r="B252" s="17" t="n"/>
      <c r="C252" s="17" t="n"/>
      <c r="D252" s="18" t="n"/>
      <c r="E252" s="18" t="n"/>
      <c r="F252" s="19" t="n"/>
      <c r="G252" s="20" t="n"/>
      <c r="H252" s="21">
        <f>IF(AND(ISNUMBER(D252),ISNUMBER(E252)),E252-D252+1,"")</f>
        <v/>
      </c>
      <c r="I252" s="22">
        <f>IF(AND(ISNUMBER(F252),N(F252)&gt;0,ISNUMBER(G252)),G252/F252,"")</f>
        <v/>
      </c>
      <c r="J252" s="21">
        <f>IF(OR(A252="",B252=""),"",IF(C252=Yr_Cur,"CY",IF(C252=Yr_Prev,"PY","")))</f>
        <v/>
      </c>
      <c r="K252" s="21">
        <f>IF(J252="","",IF(J252="CY",SUMIFS(Dat_H,Dat_A,A252,Dat_B,B252,Dat_C,Yr_Prev),SUMIFS(Dat_H,Dat_A,A252,Dat_B,B252,Dat_C,Yr_Cur)))</f>
        <v/>
      </c>
      <c r="L252" s="21">
        <f>IF(J252="",0,IF(AND(ISNUMBER(H252),N(K252)&gt;0,ISNUMBER(F252),ISNUMBER(G252),OR(Sel_Market="All markets",A252=Sel_Market),COUNTIFS(Control!$B$11:$B$13,B252,Control!$C$11:$C$13,"Yes")&gt;0),1,0))</f>
        <v/>
      </c>
      <c r="M252" s="21">
        <f>IF(L252=1,IF(J252="CY",H252,K252),"")</f>
        <v/>
      </c>
      <c r="N252" s="21">
        <f>IF(L252=1,IF(J252="PY",H252,K252),"")</f>
        <v/>
      </c>
      <c r="O252" s="23">
        <f>IF(L252=1,IF(J252="PY",F252*M252/N252,F252),0)</f>
        <v/>
      </c>
      <c r="P252" s="23">
        <f>IF(L252=1,IF(J252="PY",G252*M252/N252,G252),0)</f>
        <v/>
      </c>
      <c r="Q252" s="23">
        <f>IF(AND(L252=1,J252="PY"),F252*(N252-M252)/N252,0)</f>
        <v/>
      </c>
      <c r="R252" s="23">
        <f>IF(AND(L252=1,J252="PY"),G252*(N252-M252)/N252,0)</f>
        <v/>
      </c>
      <c r="S252" s="21">
        <f>IF(COUNTA(A252:G252)=0,"",IF(OR(A252="",B252="",NOT(ISNUMBER(C252))),"Fill market, product and year",IF(COUNTIF(Control!$B$11:$B$13,B252)=0,"Unknown product",IF(COUNTIFS(Dat_A,A252,Dat_B,B252,Dat_C,C252)&gt;1,"Duplicate market/product/year",IF(OR(NOT(ISNUMBER(D252)),NOT(ISNUMBER(E252))),"Add launch date and Data through date",IF(E252&lt;D252,"Data through is before launch",IF(OR(NOT(ISNUMBER(F252)),NOT(ISNUMBER(G252))),"Add units and revenue","OK")))))))</f>
        <v/>
      </c>
    </row>
    <row r="253">
      <c r="A253" s="17" t="n"/>
      <c r="B253" s="17" t="n"/>
      <c r="C253" s="17" t="n"/>
      <c r="D253" s="18" t="n"/>
      <c r="E253" s="18" t="n"/>
      <c r="F253" s="19" t="n"/>
      <c r="G253" s="20" t="n"/>
      <c r="H253" s="21">
        <f>IF(AND(ISNUMBER(D253),ISNUMBER(E253)),E253-D253+1,"")</f>
        <v/>
      </c>
      <c r="I253" s="22">
        <f>IF(AND(ISNUMBER(F253),N(F253)&gt;0,ISNUMBER(G253)),G253/F253,"")</f>
        <v/>
      </c>
      <c r="J253" s="21">
        <f>IF(OR(A253="",B253=""),"",IF(C253=Yr_Cur,"CY",IF(C253=Yr_Prev,"PY","")))</f>
        <v/>
      </c>
      <c r="K253" s="21">
        <f>IF(J253="","",IF(J253="CY",SUMIFS(Dat_H,Dat_A,A253,Dat_B,B253,Dat_C,Yr_Prev),SUMIFS(Dat_H,Dat_A,A253,Dat_B,B253,Dat_C,Yr_Cur)))</f>
        <v/>
      </c>
      <c r="L253" s="21">
        <f>IF(J253="",0,IF(AND(ISNUMBER(H253),N(K253)&gt;0,ISNUMBER(F253),ISNUMBER(G253),OR(Sel_Market="All markets",A253=Sel_Market),COUNTIFS(Control!$B$11:$B$13,B253,Control!$C$11:$C$13,"Yes")&gt;0),1,0))</f>
        <v/>
      </c>
      <c r="M253" s="21">
        <f>IF(L253=1,IF(J253="CY",H253,K253),"")</f>
        <v/>
      </c>
      <c r="N253" s="21">
        <f>IF(L253=1,IF(J253="PY",H253,K253),"")</f>
        <v/>
      </c>
      <c r="O253" s="23">
        <f>IF(L253=1,IF(J253="PY",F253*M253/N253,F253),0)</f>
        <v/>
      </c>
      <c r="P253" s="23">
        <f>IF(L253=1,IF(J253="PY",G253*M253/N253,G253),0)</f>
        <v/>
      </c>
      <c r="Q253" s="23">
        <f>IF(AND(L253=1,J253="PY"),F253*(N253-M253)/N253,0)</f>
        <v/>
      </c>
      <c r="R253" s="23">
        <f>IF(AND(L253=1,J253="PY"),G253*(N253-M253)/N253,0)</f>
        <v/>
      </c>
      <c r="S253" s="21">
        <f>IF(COUNTA(A253:G253)=0,"",IF(OR(A253="",B253="",NOT(ISNUMBER(C253))),"Fill market, product and year",IF(COUNTIF(Control!$B$11:$B$13,B253)=0,"Unknown product",IF(COUNTIFS(Dat_A,A253,Dat_B,B253,Dat_C,C253)&gt;1,"Duplicate market/product/year",IF(OR(NOT(ISNUMBER(D253)),NOT(ISNUMBER(E253))),"Add launch date and Data through date",IF(E253&lt;D253,"Data through is before launch",IF(OR(NOT(ISNUMBER(F253)),NOT(ISNUMBER(G253))),"Add units and revenue","OK")))))))</f>
        <v/>
      </c>
    </row>
    <row r="254">
      <c r="A254" s="17" t="n"/>
      <c r="B254" s="17" t="n"/>
      <c r="C254" s="17" t="n"/>
      <c r="D254" s="18" t="n"/>
      <c r="E254" s="18" t="n"/>
      <c r="F254" s="19" t="n"/>
      <c r="G254" s="20" t="n"/>
      <c r="H254" s="21">
        <f>IF(AND(ISNUMBER(D254),ISNUMBER(E254)),E254-D254+1,"")</f>
        <v/>
      </c>
      <c r="I254" s="22">
        <f>IF(AND(ISNUMBER(F254),N(F254)&gt;0,ISNUMBER(G254)),G254/F254,"")</f>
        <v/>
      </c>
      <c r="J254" s="21">
        <f>IF(OR(A254="",B254=""),"",IF(C254=Yr_Cur,"CY",IF(C254=Yr_Prev,"PY","")))</f>
        <v/>
      </c>
      <c r="K254" s="21">
        <f>IF(J254="","",IF(J254="CY",SUMIFS(Dat_H,Dat_A,A254,Dat_B,B254,Dat_C,Yr_Prev),SUMIFS(Dat_H,Dat_A,A254,Dat_B,B254,Dat_C,Yr_Cur)))</f>
        <v/>
      </c>
      <c r="L254" s="21">
        <f>IF(J254="",0,IF(AND(ISNUMBER(H254),N(K254)&gt;0,ISNUMBER(F254),ISNUMBER(G254),OR(Sel_Market="All markets",A254=Sel_Market),COUNTIFS(Control!$B$11:$B$13,B254,Control!$C$11:$C$13,"Yes")&gt;0),1,0))</f>
        <v/>
      </c>
      <c r="M254" s="21">
        <f>IF(L254=1,IF(J254="CY",H254,K254),"")</f>
        <v/>
      </c>
      <c r="N254" s="21">
        <f>IF(L254=1,IF(J254="PY",H254,K254),"")</f>
        <v/>
      </c>
      <c r="O254" s="23">
        <f>IF(L254=1,IF(J254="PY",F254*M254/N254,F254),0)</f>
        <v/>
      </c>
      <c r="P254" s="23">
        <f>IF(L254=1,IF(J254="PY",G254*M254/N254,G254),0)</f>
        <v/>
      </c>
      <c r="Q254" s="23">
        <f>IF(AND(L254=1,J254="PY"),F254*(N254-M254)/N254,0)</f>
        <v/>
      </c>
      <c r="R254" s="23">
        <f>IF(AND(L254=1,J254="PY"),G254*(N254-M254)/N254,0)</f>
        <v/>
      </c>
      <c r="S254" s="21">
        <f>IF(COUNTA(A254:G254)=0,"",IF(OR(A254="",B254="",NOT(ISNUMBER(C254))),"Fill market, product and year",IF(COUNTIF(Control!$B$11:$B$13,B254)=0,"Unknown product",IF(COUNTIFS(Dat_A,A254,Dat_B,B254,Dat_C,C254)&gt;1,"Duplicate market/product/year",IF(OR(NOT(ISNUMBER(D254)),NOT(ISNUMBER(E254))),"Add launch date and Data through date",IF(E254&lt;D254,"Data through is before launch",IF(OR(NOT(ISNUMBER(F254)),NOT(ISNUMBER(G254))),"Add units and revenue","OK")))))))</f>
        <v/>
      </c>
    </row>
    <row r="255">
      <c r="A255" s="17" t="n"/>
      <c r="B255" s="17" t="n"/>
      <c r="C255" s="17" t="n"/>
      <c r="D255" s="18" t="n"/>
      <c r="E255" s="18" t="n"/>
      <c r="F255" s="19" t="n"/>
      <c r="G255" s="20" t="n"/>
      <c r="H255" s="21">
        <f>IF(AND(ISNUMBER(D255),ISNUMBER(E255)),E255-D255+1,"")</f>
        <v/>
      </c>
      <c r="I255" s="22">
        <f>IF(AND(ISNUMBER(F255),N(F255)&gt;0,ISNUMBER(G255)),G255/F255,"")</f>
        <v/>
      </c>
      <c r="J255" s="21">
        <f>IF(OR(A255="",B255=""),"",IF(C255=Yr_Cur,"CY",IF(C255=Yr_Prev,"PY","")))</f>
        <v/>
      </c>
      <c r="K255" s="21">
        <f>IF(J255="","",IF(J255="CY",SUMIFS(Dat_H,Dat_A,A255,Dat_B,B255,Dat_C,Yr_Prev),SUMIFS(Dat_H,Dat_A,A255,Dat_B,B255,Dat_C,Yr_Cur)))</f>
        <v/>
      </c>
      <c r="L255" s="21">
        <f>IF(J255="",0,IF(AND(ISNUMBER(H255),N(K255)&gt;0,ISNUMBER(F255),ISNUMBER(G255),OR(Sel_Market="All markets",A255=Sel_Market),COUNTIFS(Control!$B$11:$B$13,B255,Control!$C$11:$C$13,"Yes")&gt;0),1,0))</f>
        <v/>
      </c>
      <c r="M255" s="21">
        <f>IF(L255=1,IF(J255="CY",H255,K255),"")</f>
        <v/>
      </c>
      <c r="N255" s="21">
        <f>IF(L255=1,IF(J255="PY",H255,K255),"")</f>
        <v/>
      </c>
      <c r="O255" s="23">
        <f>IF(L255=1,IF(J255="PY",F255*M255/N255,F255),0)</f>
        <v/>
      </c>
      <c r="P255" s="23">
        <f>IF(L255=1,IF(J255="PY",G255*M255/N255,G255),0)</f>
        <v/>
      </c>
      <c r="Q255" s="23">
        <f>IF(AND(L255=1,J255="PY"),F255*(N255-M255)/N255,0)</f>
        <v/>
      </c>
      <c r="R255" s="23">
        <f>IF(AND(L255=1,J255="PY"),G255*(N255-M255)/N255,0)</f>
        <v/>
      </c>
      <c r="S255" s="21">
        <f>IF(COUNTA(A255:G255)=0,"",IF(OR(A255="",B255="",NOT(ISNUMBER(C255))),"Fill market, product and year",IF(COUNTIF(Control!$B$11:$B$13,B255)=0,"Unknown product",IF(COUNTIFS(Dat_A,A255,Dat_B,B255,Dat_C,C255)&gt;1,"Duplicate market/product/year",IF(OR(NOT(ISNUMBER(D255)),NOT(ISNUMBER(E255))),"Add launch date and Data through date",IF(E255&lt;D255,"Data through is before launch",IF(OR(NOT(ISNUMBER(F255)),NOT(ISNUMBER(G255))),"Add units and revenue","OK")))))))</f>
        <v/>
      </c>
    </row>
    <row r="256">
      <c r="A256" s="17" t="n"/>
      <c r="B256" s="17" t="n"/>
      <c r="C256" s="17" t="n"/>
      <c r="D256" s="18" t="n"/>
      <c r="E256" s="18" t="n"/>
      <c r="F256" s="19" t="n"/>
      <c r="G256" s="20" t="n"/>
      <c r="H256" s="21">
        <f>IF(AND(ISNUMBER(D256),ISNUMBER(E256)),E256-D256+1,"")</f>
        <v/>
      </c>
      <c r="I256" s="22">
        <f>IF(AND(ISNUMBER(F256),N(F256)&gt;0,ISNUMBER(G256)),G256/F256,"")</f>
        <v/>
      </c>
      <c r="J256" s="21">
        <f>IF(OR(A256="",B256=""),"",IF(C256=Yr_Cur,"CY",IF(C256=Yr_Prev,"PY","")))</f>
        <v/>
      </c>
      <c r="K256" s="21">
        <f>IF(J256="","",IF(J256="CY",SUMIFS(Dat_H,Dat_A,A256,Dat_B,B256,Dat_C,Yr_Prev),SUMIFS(Dat_H,Dat_A,A256,Dat_B,B256,Dat_C,Yr_Cur)))</f>
        <v/>
      </c>
      <c r="L256" s="21">
        <f>IF(J256="",0,IF(AND(ISNUMBER(H256),N(K256)&gt;0,ISNUMBER(F256),ISNUMBER(G256),OR(Sel_Market="All markets",A256=Sel_Market),COUNTIFS(Control!$B$11:$B$13,B256,Control!$C$11:$C$13,"Yes")&gt;0),1,0))</f>
        <v/>
      </c>
      <c r="M256" s="21">
        <f>IF(L256=1,IF(J256="CY",H256,K256),"")</f>
        <v/>
      </c>
      <c r="N256" s="21">
        <f>IF(L256=1,IF(J256="PY",H256,K256),"")</f>
        <v/>
      </c>
      <c r="O256" s="23">
        <f>IF(L256=1,IF(J256="PY",F256*M256/N256,F256),0)</f>
        <v/>
      </c>
      <c r="P256" s="23">
        <f>IF(L256=1,IF(J256="PY",G256*M256/N256,G256),0)</f>
        <v/>
      </c>
      <c r="Q256" s="23">
        <f>IF(AND(L256=1,J256="PY"),F256*(N256-M256)/N256,0)</f>
        <v/>
      </c>
      <c r="R256" s="23">
        <f>IF(AND(L256=1,J256="PY"),G256*(N256-M256)/N256,0)</f>
        <v/>
      </c>
      <c r="S256" s="21">
        <f>IF(COUNTA(A256:G256)=0,"",IF(OR(A256="",B256="",NOT(ISNUMBER(C256))),"Fill market, product and year",IF(COUNTIF(Control!$B$11:$B$13,B256)=0,"Unknown product",IF(COUNTIFS(Dat_A,A256,Dat_B,B256,Dat_C,C256)&gt;1,"Duplicate market/product/year",IF(OR(NOT(ISNUMBER(D256)),NOT(ISNUMBER(E256))),"Add launch date and Data through date",IF(E256&lt;D256,"Data through is before launch",IF(OR(NOT(ISNUMBER(F256)),NOT(ISNUMBER(G256))),"Add units and revenue","OK")))))))</f>
        <v/>
      </c>
    </row>
    <row r="257">
      <c r="A257" s="17" t="n"/>
      <c r="B257" s="17" t="n"/>
      <c r="C257" s="17" t="n"/>
      <c r="D257" s="18" t="n"/>
      <c r="E257" s="18" t="n"/>
      <c r="F257" s="19" t="n"/>
      <c r="G257" s="20" t="n"/>
      <c r="H257" s="21">
        <f>IF(AND(ISNUMBER(D257),ISNUMBER(E257)),E257-D257+1,"")</f>
        <v/>
      </c>
      <c r="I257" s="22">
        <f>IF(AND(ISNUMBER(F257),N(F257)&gt;0,ISNUMBER(G257)),G257/F257,"")</f>
        <v/>
      </c>
      <c r="J257" s="21">
        <f>IF(OR(A257="",B257=""),"",IF(C257=Yr_Cur,"CY",IF(C257=Yr_Prev,"PY","")))</f>
        <v/>
      </c>
      <c r="K257" s="21">
        <f>IF(J257="","",IF(J257="CY",SUMIFS(Dat_H,Dat_A,A257,Dat_B,B257,Dat_C,Yr_Prev),SUMIFS(Dat_H,Dat_A,A257,Dat_B,B257,Dat_C,Yr_Cur)))</f>
        <v/>
      </c>
      <c r="L257" s="21">
        <f>IF(J257="",0,IF(AND(ISNUMBER(H257),N(K257)&gt;0,ISNUMBER(F257),ISNUMBER(G257),OR(Sel_Market="All markets",A257=Sel_Market),COUNTIFS(Control!$B$11:$B$13,B257,Control!$C$11:$C$13,"Yes")&gt;0),1,0))</f>
        <v/>
      </c>
      <c r="M257" s="21">
        <f>IF(L257=1,IF(J257="CY",H257,K257),"")</f>
        <v/>
      </c>
      <c r="N257" s="21">
        <f>IF(L257=1,IF(J257="PY",H257,K257),"")</f>
        <v/>
      </c>
      <c r="O257" s="23">
        <f>IF(L257=1,IF(J257="PY",F257*M257/N257,F257),0)</f>
        <v/>
      </c>
      <c r="P257" s="23">
        <f>IF(L257=1,IF(J257="PY",G257*M257/N257,G257),0)</f>
        <v/>
      </c>
      <c r="Q257" s="23">
        <f>IF(AND(L257=1,J257="PY"),F257*(N257-M257)/N257,0)</f>
        <v/>
      </c>
      <c r="R257" s="23">
        <f>IF(AND(L257=1,J257="PY"),G257*(N257-M257)/N257,0)</f>
        <v/>
      </c>
      <c r="S257" s="21">
        <f>IF(COUNTA(A257:G257)=0,"",IF(OR(A257="",B257="",NOT(ISNUMBER(C257))),"Fill market, product and year",IF(COUNTIF(Control!$B$11:$B$13,B257)=0,"Unknown product",IF(COUNTIFS(Dat_A,A257,Dat_B,B257,Dat_C,C257)&gt;1,"Duplicate market/product/year",IF(OR(NOT(ISNUMBER(D257)),NOT(ISNUMBER(E257))),"Add launch date and Data through date",IF(E257&lt;D257,"Data through is before launch",IF(OR(NOT(ISNUMBER(F257)),NOT(ISNUMBER(G257))),"Add units and revenue","OK")))))))</f>
        <v/>
      </c>
    </row>
    <row r="258">
      <c r="A258" s="17" t="n"/>
      <c r="B258" s="17" t="n"/>
      <c r="C258" s="17" t="n"/>
      <c r="D258" s="18" t="n"/>
      <c r="E258" s="18" t="n"/>
      <c r="F258" s="19" t="n"/>
      <c r="G258" s="20" t="n"/>
      <c r="H258" s="21">
        <f>IF(AND(ISNUMBER(D258),ISNUMBER(E258)),E258-D258+1,"")</f>
        <v/>
      </c>
      <c r="I258" s="22">
        <f>IF(AND(ISNUMBER(F258),N(F258)&gt;0,ISNUMBER(G258)),G258/F258,"")</f>
        <v/>
      </c>
      <c r="J258" s="21">
        <f>IF(OR(A258="",B258=""),"",IF(C258=Yr_Cur,"CY",IF(C258=Yr_Prev,"PY","")))</f>
        <v/>
      </c>
      <c r="K258" s="21">
        <f>IF(J258="","",IF(J258="CY",SUMIFS(Dat_H,Dat_A,A258,Dat_B,B258,Dat_C,Yr_Prev),SUMIFS(Dat_H,Dat_A,A258,Dat_B,B258,Dat_C,Yr_Cur)))</f>
        <v/>
      </c>
      <c r="L258" s="21">
        <f>IF(J258="",0,IF(AND(ISNUMBER(H258),N(K258)&gt;0,ISNUMBER(F258),ISNUMBER(G258),OR(Sel_Market="All markets",A258=Sel_Market),COUNTIFS(Control!$B$11:$B$13,B258,Control!$C$11:$C$13,"Yes")&gt;0),1,0))</f>
        <v/>
      </c>
      <c r="M258" s="21">
        <f>IF(L258=1,IF(J258="CY",H258,K258),"")</f>
        <v/>
      </c>
      <c r="N258" s="21">
        <f>IF(L258=1,IF(J258="PY",H258,K258),"")</f>
        <v/>
      </c>
      <c r="O258" s="23">
        <f>IF(L258=1,IF(J258="PY",F258*M258/N258,F258),0)</f>
        <v/>
      </c>
      <c r="P258" s="23">
        <f>IF(L258=1,IF(J258="PY",G258*M258/N258,G258),0)</f>
        <v/>
      </c>
      <c r="Q258" s="23">
        <f>IF(AND(L258=1,J258="PY"),F258*(N258-M258)/N258,0)</f>
        <v/>
      </c>
      <c r="R258" s="23">
        <f>IF(AND(L258=1,J258="PY"),G258*(N258-M258)/N258,0)</f>
        <v/>
      </c>
      <c r="S258" s="21">
        <f>IF(COUNTA(A258:G258)=0,"",IF(OR(A258="",B258="",NOT(ISNUMBER(C258))),"Fill market, product and year",IF(COUNTIF(Control!$B$11:$B$13,B258)=0,"Unknown product",IF(COUNTIFS(Dat_A,A258,Dat_B,B258,Dat_C,C258)&gt;1,"Duplicate market/product/year",IF(OR(NOT(ISNUMBER(D258)),NOT(ISNUMBER(E258))),"Add launch date and Data through date",IF(E258&lt;D258,"Data through is before launch",IF(OR(NOT(ISNUMBER(F258)),NOT(ISNUMBER(G258))),"Add units and revenue","OK")))))))</f>
        <v/>
      </c>
    </row>
    <row r="259">
      <c r="A259" s="17" t="n"/>
      <c r="B259" s="17" t="n"/>
      <c r="C259" s="17" t="n"/>
      <c r="D259" s="18" t="n"/>
      <c r="E259" s="18" t="n"/>
      <c r="F259" s="19" t="n"/>
      <c r="G259" s="20" t="n"/>
      <c r="H259" s="21">
        <f>IF(AND(ISNUMBER(D259),ISNUMBER(E259)),E259-D259+1,"")</f>
        <v/>
      </c>
      <c r="I259" s="22">
        <f>IF(AND(ISNUMBER(F259),N(F259)&gt;0,ISNUMBER(G259)),G259/F259,"")</f>
        <v/>
      </c>
      <c r="J259" s="21">
        <f>IF(OR(A259="",B259=""),"",IF(C259=Yr_Cur,"CY",IF(C259=Yr_Prev,"PY","")))</f>
        <v/>
      </c>
      <c r="K259" s="21">
        <f>IF(J259="","",IF(J259="CY",SUMIFS(Dat_H,Dat_A,A259,Dat_B,B259,Dat_C,Yr_Prev),SUMIFS(Dat_H,Dat_A,A259,Dat_B,B259,Dat_C,Yr_Cur)))</f>
        <v/>
      </c>
      <c r="L259" s="21">
        <f>IF(J259="",0,IF(AND(ISNUMBER(H259),N(K259)&gt;0,ISNUMBER(F259),ISNUMBER(G259),OR(Sel_Market="All markets",A259=Sel_Market),COUNTIFS(Control!$B$11:$B$13,B259,Control!$C$11:$C$13,"Yes")&gt;0),1,0))</f>
        <v/>
      </c>
      <c r="M259" s="21">
        <f>IF(L259=1,IF(J259="CY",H259,K259),"")</f>
        <v/>
      </c>
      <c r="N259" s="21">
        <f>IF(L259=1,IF(J259="PY",H259,K259),"")</f>
        <v/>
      </c>
      <c r="O259" s="23">
        <f>IF(L259=1,IF(J259="PY",F259*M259/N259,F259),0)</f>
        <v/>
      </c>
      <c r="P259" s="23">
        <f>IF(L259=1,IF(J259="PY",G259*M259/N259,G259),0)</f>
        <v/>
      </c>
      <c r="Q259" s="23">
        <f>IF(AND(L259=1,J259="PY"),F259*(N259-M259)/N259,0)</f>
        <v/>
      </c>
      <c r="R259" s="23">
        <f>IF(AND(L259=1,J259="PY"),G259*(N259-M259)/N259,0)</f>
        <v/>
      </c>
      <c r="S259" s="21">
        <f>IF(COUNTA(A259:G259)=0,"",IF(OR(A259="",B259="",NOT(ISNUMBER(C259))),"Fill market, product and year",IF(COUNTIF(Control!$B$11:$B$13,B259)=0,"Unknown product",IF(COUNTIFS(Dat_A,A259,Dat_B,B259,Dat_C,C259)&gt;1,"Duplicate market/product/year",IF(OR(NOT(ISNUMBER(D259)),NOT(ISNUMBER(E259))),"Add launch date and Data through date",IF(E259&lt;D259,"Data through is before launch",IF(OR(NOT(ISNUMBER(F259)),NOT(ISNUMBER(G259))),"Add units and revenue","OK")))))))</f>
        <v/>
      </c>
    </row>
    <row r="260">
      <c r="A260" s="17" t="n"/>
      <c r="B260" s="17" t="n"/>
      <c r="C260" s="17" t="n"/>
      <c r="D260" s="18" t="n"/>
      <c r="E260" s="18" t="n"/>
      <c r="F260" s="19" t="n"/>
      <c r="G260" s="20" t="n"/>
      <c r="H260" s="21">
        <f>IF(AND(ISNUMBER(D260),ISNUMBER(E260)),E260-D260+1,"")</f>
        <v/>
      </c>
      <c r="I260" s="22">
        <f>IF(AND(ISNUMBER(F260),N(F260)&gt;0,ISNUMBER(G260)),G260/F260,"")</f>
        <v/>
      </c>
      <c r="J260" s="21">
        <f>IF(OR(A260="",B260=""),"",IF(C260=Yr_Cur,"CY",IF(C260=Yr_Prev,"PY","")))</f>
        <v/>
      </c>
      <c r="K260" s="21">
        <f>IF(J260="","",IF(J260="CY",SUMIFS(Dat_H,Dat_A,A260,Dat_B,B260,Dat_C,Yr_Prev),SUMIFS(Dat_H,Dat_A,A260,Dat_B,B260,Dat_C,Yr_Cur)))</f>
        <v/>
      </c>
      <c r="L260" s="21">
        <f>IF(J260="",0,IF(AND(ISNUMBER(H260),N(K260)&gt;0,ISNUMBER(F260),ISNUMBER(G260),OR(Sel_Market="All markets",A260=Sel_Market),COUNTIFS(Control!$B$11:$B$13,B260,Control!$C$11:$C$13,"Yes")&gt;0),1,0))</f>
        <v/>
      </c>
      <c r="M260" s="21">
        <f>IF(L260=1,IF(J260="CY",H260,K260),"")</f>
        <v/>
      </c>
      <c r="N260" s="21">
        <f>IF(L260=1,IF(J260="PY",H260,K260),"")</f>
        <v/>
      </c>
      <c r="O260" s="23">
        <f>IF(L260=1,IF(J260="PY",F260*M260/N260,F260),0)</f>
        <v/>
      </c>
      <c r="P260" s="23">
        <f>IF(L260=1,IF(J260="PY",G260*M260/N260,G260),0)</f>
        <v/>
      </c>
      <c r="Q260" s="23">
        <f>IF(AND(L260=1,J260="PY"),F260*(N260-M260)/N260,0)</f>
        <v/>
      </c>
      <c r="R260" s="23">
        <f>IF(AND(L260=1,J260="PY"),G260*(N260-M260)/N260,0)</f>
        <v/>
      </c>
      <c r="S260" s="21">
        <f>IF(COUNTA(A260:G260)=0,"",IF(OR(A260="",B260="",NOT(ISNUMBER(C260))),"Fill market, product and year",IF(COUNTIF(Control!$B$11:$B$13,B260)=0,"Unknown product",IF(COUNTIFS(Dat_A,A260,Dat_B,B260,Dat_C,C260)&gt;1,"Duplicate market/product/year",IF(OR(NOT(ISNUMBER(D260)),NOT(ISNUMBER(E260))),"Add launch date and Data through date",IF(E260&lt;D260,"Data through is before launch",IF(OR(NOT(ISNUMBER(F260)),NOT(ISNUMBER(G260))),"Add units and revenue","OK")))))))</f>
        <v/>
      </c>
    </row>
    <row r="261">
      <c r="A261" s="17" t="n"/>
      <c r="B261" s="17" t="n"/>
      <c r="C261" s="17" t="n"/>
      <c r="D261" s="18" t="n"/>
      <c r="E261" s="18" t="n"/>
      <c r="F261" s="19" t="n"/>
      <c r="G261" s="20" t="n"/>
      <c r="H261" s="21">
        <f>IF(AND(ISNUMBER(D261),ISNUMBER(E261)),E261-D261+1,"")</f>
        <v/>
      </c>
      <c r="I261" s="22">
        <f>IF(AND(ISNUMBER(F261),N(F261)&gt;0,ISNUMBER(G261)),G261/F261,"")</f>
        <v/>
      </c>
      <c r="J261" s="21">
        <f>IF(OR(A261="",B261=""),"",IF(C261=Yr_Cur,"CY",IF(C261=Yr_Prev,"PY","")))</f>
        <v/>
      </c>
      <c r="K261" s="21">
        <f>IF(J261="","",IF(J261="CY",SUMIFS(Dat_H,Dat_A,A261,Dat_B,B261,Dat_C,Yr_Prev),SUMIFS(Dat_H,Dat_A,A261,Dat_B,B261,Dat_C,Yr_Cur)))</f>
        <v/>
      </c>
      <c r="L261" s="21">
        <f>IF(J261="",0,IF(AND(ISNUMBER(H261),N(K261)&gt;0,ISNUMBER(F261),ISNUMBER(G261),OR(Sel_Market="All markets",A261=Sel_Market),COUNTIFS(Control!$B$11:$B$13,B261,Control!$C$11:$C$13,"Yes")&gt;0),1,0))</f>
        <v/>
      </c>
      <c r="M261" s="21">
        <f>IF(L261=1,IF(J261="CY",H261,K261),"")</f>
        <v/>
      </c>
      <c r="N261" s="21">
        <f>IF(L261=1,IF(J261="PY",H261,K261),"")</f>
        <v/>
      </c>
      <c r="O261" s="23">
        <f>IF(L261=1,IF(J261="PY",F261*M261/N261,F261),0)</f>
        <v/>
      </c>
      <c r="P261" s="23">
        <f>IF(L261=1,IF(J261="PY",G261*M261/N261,G261),0)</f>
        <v/>
      </c>
      <c r="Q261" s="23">
        <f>IF(AND(L261=1,J261="PY"),F261*(N261-M261)/N261,0)</f>
        <v/>
      </c>
      <c r="R261" s="23">
        <f>IF(AND(L261=1,J261="PY"),G261*(N261-M261)/N261,0)</f>
        <v/>
      </c>
      <c r="S261" s="21">
        <f>IF(COUNTA(A261:G261)=0,"",IF(OR(A261="",B261="",NOT(ISNUMBER(C261))),"Fill market, product and year",IF(COUNTIF(Control!$B$11:$B$13,B261)=0,"Unknown product",IF(COUNTIFS(Dat_A,A261,Dat_B,B261,Dat_C,C261)&gt;1,"Duplicate market/product/year",IF(OR(NOT(ISNUMBER(D261)),NOT(ISNUMBER(E261))),"Add launch date and Data through date",IF(E261&lt;D261,"Data through is before launch",IF(OR(NOT(ISNUMBER(F261)),NOT(ISNUMBER(G261))),"Add units and revenue","OK")))))))</f>
        <v/>
      </c>
    </row>
    <row r="262">
      <c r="A262" s="17" t="n"/>
      <c r="B262" s="17" t="n"/>
      <c r="C262" s="17" t="n"/>
      <c r="D262" s="18" t="n"/>
      <c r="E262" s="18" t="n"/>
      <c r="F262" s="19" t="n"/>
      <c r="G262" s="20" t="n"/>
      <c r="H262" s="21">
        <f>IF(AND(ISNUMBER(D262),ISNUMBER(E262)),E262-D262+1,"")</f>
        <v/>
      </c>
      <c r="I262" s="22">
        <f>IF(AND(ISNUMBER(F262),N(F262)&gt;0,ISNUMBER(G262)),G262/F262,"")</f>
        <v/>
      </c>
      <c r="J262" s="21">
        <f>IF(OR(A262="",B262=""),"",IF(C262=Yr_Cur,"CY",IF(C262=Yr_Prev,"PY","")))</f>
        <v/>
      </c>
      <c r="K262" s="21">
        <f>IF(J262="","",IF(J262="CY",SUMIFS(Dat_H,Dat_A,A262,Dat_B,B262,Dat_C,Yr_Prev),SUMIFS(Dat_H,Dat_A,A262,Dat_B,B262,Dat_C,Yr_Cur)))</f>
        <v/>
      </c>
      <c r="L262" s="21">
        <f>IF(J262="",0,IF(AND(ISNUMBER(H262),N(K262)&gt;0,ISNUMBER(F262),ISNUMBER(G262),OR(Sel_Market="All markets",A262=Sel_Market),COUNTIFS(Control!$B$11:$B$13,B262,Control!$C$11:$C$13,"Yes")&gt;0),1,0))</f>
        <v/>
      </c>
      <c r="M262" s="21">
        <f>IF(L262=1,IF(J262="CY",H262,K262),"")</f>
        <v/>
      </c>
      <c r="N262" s="21">
        <f>IF(L262=1,IF(J262="PY",H262,K262),"")</f>
        <v/>
      </c>
      <c r="O262" s="23">
        <f>IF(L262=1,IF(J262="PY",F262*M262/N262,F262),0)</f>
        <v/>
      </c>
      <c r="P262" s="23">
        <f>IF(L262=1,IF(J262="PY",G262*M262/N262,G262),0)</f>
        <v/>
      </c>
      <c r="Q262" s="23">
        <f>IF(AND(L262=1,J262="PY"),F262*(N262-M262)/N262,0)</f>
        <v/>
      </c>
      <c r="R262" s="23">
        <f>IF(AND(L262=1,J262="PY"),G262*(N262-M262)/N262,0)</f>
        <v/>
      </c>
      <c r="S262" s="21">
        <f>IF(COUNTA(A262:G262)=0,"",IF(OR(A262="",B262="",NOT(ISNUMBER(C262))),"Fill market, product and year",IF(COUNTIF(Control!$B$11:$B$13,B262)=0,"Unknown product",IF(COUNTIFS(Dat_A,A262,Dat_B,B262,Dat_C,C262)&gt;1,"Duplicate market/product/year",IF(OR(NOT(ISNUMBER(D262)),NOT(ISNUMBER(E262))),"Add launch date and Data through date",IF(E262&lt;D262,"Data through is before launch",IF(OR(NOT(ISNUMBER(F262)),NOT(ISNUMBER(G262))),"Add units and revenue","OK")))))))</f>
        <v/>
      </c>
    </row>
    <row r="263">
      <c r="A263" s="17" t="n"/>
      <c r="B263" s="17" t="n"/>
      <c r="C263" s="17" t="n"/>
      <c r="D263" s="18" t="n"/>
      <c r="E263" s="18" t="n"/>
      <c r="F263" s="19" t="n"/>
      <c r="G263" s="20" t="n"/>
      <c r="H263" s="21">
        <f>IF(AND(ISNUMBER(D263),ISNUMBER(E263)),E263-D263+1,"")</f>
        <v/>
      </c>
      <c r="I263" s="22">
        <f>IF(AND(ISNUMBER(F263),N(F263)&gt;0,ISNUMBER(G263)),G263/F263,"")</f>
        <v/>
      </c>
      <c r="J263" s="21">
        <f>IF(OR(A263="",B263=""),"",IF(C263=Yr_Cur,"CY",IF(C263=Yr_Prev,"PY","")))</f>
        <v/>
      </c>
      <c r="K263" s="21">
        <f>IF(J263="","",IF(J263="CY",SUMIFS(Dat_H,Dat_A,A263,Dat_B,B263,Dat_C,Yr_Prev),SUMIFS(Dat_H,Dat_A,A263,Dat_B,B263,Dat_C,Yr_Cur)))</f>
        <v/>
      </c>
      <c r="L263" s="21">
        <f>IF(J263="",0,IF(AND(ISNUMBER(H263),N(K263)&gt;0,ISNUMBER(F263),ISNUMBER(G263),OR(Sel_Market="All markets",A263=Sel_Market),COUNTIFS(Control!$B$11:$B$13,B263,Control!$C$11:$C$13,"Yes")&gt;0),1,0))</f>
        <v/>
      </c>
      <c r="M263" s="21">
        <f>IF(L263=1,IF(J263="CY",H263,K263),"")</f>
        <v/>
      </c>
      <c r="N263" s="21">
        <f>IF(L263=1,IF(J263="PY",H263,K263),"")</f>
        <v/>
      </c>
      <c r="O263" s="23">
        <f>IF(L263=1,IF(J263="PY",F263*M263/N263,F263),0)</f>
        <v/>
      </c>
      <c r="P263" s="23">
        <f>IF(L263=1,IF(J263="PY",G263*M263/N263,G263),0)</f>
        <v/>
      </c>
      <c r="Q263" s="23">
        <f>IF(AND(L263=1,J263="PY"),F263*(N263-M263)/N263,0)</f>
        <v/>
      </c>
      <c r="R263" s="23">
        <f>IF(AND(L263=1,J263="PY"),G263*(N263-M263)/N263,0)</f>
        <v/>
      </c>
      <c r="S263" s="21">
        <f>IF(COUNTA(A263:G263)=0,"",IF(OR(A263="",B263="",NOT(ISNUMBER(C263))),"Fill market, product and year",IF(COUNTIF(Control!$B$11:$B$13,B263)=0,"Unknown product",IF(COUNTIFS(Dat_A,A263,Dat_B,B263,Dat_C,C263)&gt;1,"Duplicate market/product/year",IF(OR(NOT(ISNUMBER(D263)),NOT(ISNUMBER(E263))),"Add launch date and Data through date",IF(E263&lt;D263,"Data through is before launch",IF(OR(NOT(ISNUMBER(F263)),NOT(ISNUMBER(G263))),"Add units and revenue","OK")))))))</f>
        <v/>
      </c>
    </row>
    <row r="264">
      <c r="A264" s="17" t="n"/>
      <c r="B264" s="17" t="n"/>
      <c r="C264" s="17" t="n"/>
      <c r="D264" s="18" t="n"/>
      <c r="E264" s="18" t="n"/>
      <c r="F264" s="19" t="n"/>
      <c r="G264" s="20" t="n"/>
      <c r="H264" s="21">
        <f>IF(AND(ISNUMBER(D264),ISNUMBER(E264)),E264-D264+1,"")</f>
        <v/>
      </c>
      <c r="I264" s="22">
        <f>IF(AND(ISNUMBER(F264),N(F264)&gt;0,ISNUMBER(G264)),G264/F264,"")</f>
        <v/>
      </c>
      <c r="J264" s="21">
        <f>IF(OR(A264="",B264=""),"",IF(C264=Yr_Cur,"CY",IF(C264=Yr_Prev,"PY","")))</f>
        <v/>
      </c>
      <c r="K264" s="21">
        <f>IF(J264="","",IF(J264="CY",SUMIFS(Dat_H,Dat_A,A264,Dat_B,B264,Dat_C,Yr_Prev),SUMIFS(Dat_H,Dat_A,A264,Dat_B,B264,Dat_C,Yr_Cur)))</f>
        <v/>
      </c>
      <c r="L264" s="21">
        <f>IF(J264="",0,IF(AND(ISNUMBER(H264),N(K264)&gt;0,ISNUMBER(F264),ISNUMBER(G264),OR(Sel_Market="All markets",A264=Sel_Market),COUNTIFS(Control!$B$11:$B$13,B264,Control!$C$11:$C$13,"Yes")&gt;0),1,0))</f>
        <v/>
      </c>
      <c r="M264" s="21">
        <f>IF(L264=1,IF(J264="CY",H264,K264),"")</f>
        <v/>
      </c>
      <c r="N264" s="21">
        <f>IF(L264=1,IF(J264="PY",H264,K264),"")</f>
        <v/>
      </c>
      <c r="O264" s="23">
        <f>IF(L264=1,IF(J264="PY",F264*M264/N264,F264),0)</f>
        <v/>
      </c>
      <c r="P264" s="23">
        <f>IF(L264=1,IF(J264="PY",G264*M264/N264,G264),0)</f>
        <v/>
      </c>
      <c r="Q264" s="23">
        <f>IF(AND(L264=1,J264="PY"),F264*(N264-M264)/N264,0)</f>
        <v/>
      </c>
      <c r="R264" s="23">
        <f>IF(AND(L264=1,J264="PY"),G264*(N264-M264)/N264,0)</f>
        <v/>
      </c>
      <c r="S264" s="21">
        <f>IF(COUNTA(A264:G264)=0,"",IF(OR(A264="",B264="",NOT(ISNUMBER(C264))),"Fill market, product and year",IF(COUNTIF(Control!$B$11:$B$13,B264)=0,"Unknown product",IF(COUNTIFS(Dat_A,A264,Dat_B,B264,Dat_C,C264)&gt;1,"Duplicate market/product/year",IF(OR(NOT(ISNUMBER(D264)),NOT(ISNUMBER(E264))),"Add launch date and Data through date",IF(E264&lt;D264,"Data through is before launch",IF(OR(NOT(ISNUMBER(F264)),NOT(ISNUMBER(G264))),"Add units and revenue","OK")))))))</f>
        <v/>
      </c>
    </row>
    <row r="265">
      <c r="A265" s="17" t="n"/>
      <c r="B265" s="17" t="n"/>
      <c r="C265" s="17" t="n"/>
      <c r="D265" s="18" t="n"/>
      <c r="E265" s="18" t="n"/>
      <c r="F265" s="19" t="n"/>
      <c r="G265" s="20" t="n"/>
      <c r="H265" s="21">
        <f>IF(AND(ISNUMBER(D265),ISNUMBER(E265)),E265-D265+1,"")</f>
        <v/>
      </c>
      <c r="I265" s="22">
        <f>IF(AND(ISNUMBER(F265),N(F265)&gt;0,ISNUMBER(G265)),G265/F265,"")</f>
        <v/>
      </c>
      <c r="J265" s="21">
        <f>IF(OR(A265="",B265=""),"",IF(C265=Yr_Cur,"CY",IF(C265=Yr_Prev,"PY","")))</f>
        <v/>
      </c>
      <c r="K265" s="21">
        <f>IF(J265="","",IF(J265="CY",SUMIFS(Dat_H,Dat_A,A265,Dat_B,B265,Dat_C,Yr_Prev),SUMIFS(Dat_H,Dat_A,A265,Dat_B,B265,Dat_C,Yr_Cur)))</f>
        <v/>
      </c>
      <c r="L265" s="21">
        <f>IF(J265="",0,IF(AND(ISNUMBER(H265),N(K265)&gt;0,ISNUMBER(F265),ISNUMBER(G265),OR(Sel_Market="All markets",A265=Sel_Market),COUNTIFS(Control!$B$11:$B$13,B265,Control!$C$11:$C$13,"Yes")&gt;0),1,0))</f>
        <v/>
      </c>
      <c r="M265" s="21">
        <f>IF(L265=1,IF(J265="CY",H265,K265),"")</f>
        <v/>
      </c>
      <c r="N265" s="21">
        <f>IF(L265=1,IF(J265="PY",H265,K265),"")</f>
        <v/>
      </c>
      <c r="O265" s="23">
        <f>IF(L265=1,IF(J265="PY",F265*M265/N265,F265),0)</f>
        <v/>
      </c>
      <c r="P265" s="23">
        <f>IF(L265=1,IF(J265="PY",G265*M265/N265,G265),0)</f>
        <v/>
      </c>
      <c r="Q265" s="23">
        <f>IF(AND(L265=1,J265="PY"),F265*(N265-M265)/N265,0)</f>
        <v/>
      </c>
      <c r="R265" s="23">
        <f>IF(AND(L265=1,J265="PY"),G265*(N265-M265)/N265,0)</f>
        <v/>
      </c>
      <c r="S265" s="21">
        <f>IF(COUNTA(A265:G265)=0,"",IF(OR(A265="",B265="",NOT(ISNUMBER(C265))),"Fill market, product and year",IF(COUNTIF(Control!$B$11:$B$13,B265)=0,"Unknown product",IF(COUNTIFS(Dat_A,A265,Dat_B,B265,Dat_C,C265)&gt;1,"Duplicate market/product/year",IF(OR(NOT(ISNUMBER(D265)),NOT(ISNUMBER(E265))),"Add launch date and Data through date",IF(E265&lt;D265,"Data through is before launch",IF(OR(NOT(ISNUMBER(F265)),NOT(ISNUMBER(G265))),"Add units and revenue","OK")))))))</f>
        <v/>
      </c>
    </row>
    <row r="266">
      <c r="A266" s="17" t="n"/>
      <c r="B266" s="17" t="n"/>
      <c r="C266" s="17" t="n"/>
      <c r="D266" s="18" t="n"/>
      <c r="E266" s="18" t="n"/>
      <c r="F266" s="19" t="n"/>
      <c r="G266" s="20" t="n"/>
      <c r="H266" s="21">
        <f>IF(AND(ISNUMBER(D266),ISNUMBER(E266)),E266-D266+1,"")</f>
        <v/>
      </c>
      <c r="I266" s="22">
        <f>IF(AND(ISNUMBER(F266),N(F266)&gt;0,ISNUMBER(G266)),G266/F266,"")</f>
        <v/>
      </c>
      <c r="J266" s="21">
        <f>IF(OR(A266="",B266=""),"",IF(C266=Yr_Cur,"CY",IF(C266=Yr_Prev,"PY","")))</f>
        <v/>
      </c>
      <c r="K266" s="21">
        <f>IF(J266="","",IF(J266="CY",SUMIFS(Dat_H,Dat_A,A266,Dat_B,B266,Dat_C,Yr_Prev),SUMIFS(Dat_H,Dat_A,A266,Dat_B,B266,Dat_C,Yr_Cur)))</f>
        <v/>
      </c>
      <c r="L266" s="21">
        <f>IF(J266="",0,IF(AND(ISNUMBER(H266),N(K266)&gt;0,ISNUMBER(F266),ISNUMBER(G266),OR(Sel_Market="All markets",A266=Sel_Market),COUNTIFS(Control!$B$11:$B$13,B266,Control!$C$11:$C$13,"Yes")&gt;0),1,0))</f>
        <v/>
      </c>
      <c r="M266" s="21">
        <f>IF(L266=1,IF(J266="CY",H266,K266),"")</f>
        <v/>
      </c>
      <c r="N266" s="21">
        <f>IF(L266=1,IF(J266="PY",H266,K266),"")</f>
        <v/>
      </c>
      <c r="O266" s="23">
        <f>IF(L266=1,IF(J266="PY",F266*M266/N266,F266),0)</f>
        <v/>
      </c>
      <c r="P266" s="23">
        <f>IF(L266=1,IF(J266="PY",G266*M266/N266,G266),0)</f>
        <v/>
      </c>
      <c r="Q266" s="23">
        <f>IF(AND(L266=1,J266="PY"),F266*(N266-M266)/N266,0)</f>
        <v/>
      </c>
      <c r="R266" s="23">
        <f>IF(AND(L266=1,J266="PY"),G266*(N266-M266)/N266,0)</f>
        <v/>
      </c>
      <c r="S266" s="21">
        <f>IF(COUNTA(A266:G266)=0,"",IF(OR(A266="",B266="",NOT(ISNUMBER(C266))),"Fill market, product and year",IF(COUNTIF(Control!$B$11:$B$13,B266)=0,"Unknown product",IF(COUNTIFS(Dat_A,A266,Dat_B,B266,Dat_C,C266)&gt;1,"Duplicate market/product/year",IF(OR(NOT(ISNUMBER(D266)),NOT(ISNUMBER(E266))),"Add launch date and Data through date",IF(E266&lt;D266,"Data through is before launch",IF(OR(NOT(ISNUMBER(F266)),NOT(ISNUMBER(G266))),"Add units and revenue","OK")))))))</f>
        <v/>
      </c>
    </row>
    <row r="267">
      <c r="A267" s="17" t="n"/>
      <c r="B267" s="17" t="n"/>
      <c r="C267" s="17" t="n"/>
      <c r="D267" s="18" t="n"/>
      <c r="E267" s="18" t="n"/>
      <c r="F267" s="19" t="n"/>
      <c r="G267" s="20" t="n"/>
      <c r="H267" s="21">
        <f>IF(AND(ISNUMBER(D267),ISNUMBER(E267)),E267-D267+1,"")</f>
        <v/>
      </c>
      <c r="I267" s="22">
        <f>IF(AND(ISNUMBER(F267),N(F267)&gt;0,ISNUMBER(G267)),G267/F267,"")</f>
        <v/>
      </c>
      <c r="J267" s="21">
        <f>IF(OR(A267="",B267=""),"",IF(C267=Yr_Cur,"CY",IF(C267=Yr_Prev,"PY","")))</f>
        <v/>
      </c>
      <c r="K267" s="21">
        <f>IF(J267="","",IF(J267="CY",SUMIFS(Dat_H,Dat_A,A267,Dat_B,B267,Dat_C,Yr_Prev),SUMIFS(Dat_H,Dat_A,A267,Dat_B,B267,Dat_C,Yr_Cur)))</f>
        <v/>
      </c>
      <c r="L267" s="21">
        <f>IF(J267="",0,IF(AND(ISNUMBER(H267),N(K267)&gt;0,ISNUMBER(F267),ISNUMBER(G267),OR(Sel_Market="All markets",A267=Sel_Market),COUNTIFS(Control!$B$11:$B$13,B267,Control!$C$11:$C$13,"Yes")&gt;0),1,0))</f>
        <v/>
      </c>
      <c r="M267" s="21">
        <f>IF(L267=1,IF(J267="CY",H267,K267),"")</f>
        <v/>
      </c>
      <c r="N267" s="21">
        <f>IF(L267=1,IF(J267="PY",H267,K267),"")</f>
        <v/>
      </c>
      <c r="O267" s="23">
        <f>IF(L267=1,IF(J267="PY",F267*M267/N267,F267),0)</f>
        <v/>
      </c>
      <c r="P267" s="23">
        <f>IF(L267=1,IF(J267="PY",G267*M267/N267,G267),0)</f>
        <v/>
      </c>
      <c r="Q267" s="23">
        <f>IF(AND(L267=1,J267="PY"),F267*(N267-M267)/N267,0)</f>
        <v/>
      </c>
      <c r="R267" s="23">
        <f>IF(AND(L267=1,J267="PY"),G267*(N267-M267)/N267,0)</f>
        <v/>
      </c>
      <c r="S267" s="21">
        <f>IF(COUNTA(A267:G267)=0,"",IF(OR(A267="",B267="",NOT(ISNUMBER(C267))),"Fill market, product and year",IF(COUNTIF(Control!$B$11:$B$13,B267)=0,"Unknown product",IF(COUNTIFS(Dat_A,A267,Dat_B,B267,Dat_C,C267)&gt;1,"Duplicate market/product/year",IF(OR(NOT(ISNUMBER(D267)),NOT(ISNUMBER(E267))),"Add launch date and Data through date",IF(E267&lt;D267,"Data through is before launch",IF(OR(NOT(ISNUMBER(F267)),NOT(ISNUMBER(G267))),"Add units and revenue","OK")))))))</f>
        <v/>
      </c>
    </row>
    <row r="268">
      <c r="A268" s="17" t="n"/>
      <c r="B268" s="17" t="n"/>
      <c r="C268" s="17" t="n"/>
      <c r="D268" s="18" t="n"/>
      <c r="E268" s="18" t="n"/>
      <c r="F268" s="19" t="n"/>
      <c r="G268" s="20" t="n"/>
      <c r="H268" s="21">
        <f>IF(AND(ISNUMBER(D268),ISNUMBER(E268)),E268-D268+1,"")</f>
        <v/>
      </c>
      <c r="I268" s="22">
        <f>IF(AND(ISNUMBER(F268),N(F268)&gt;0,ISNUMBER(G268)),G268/F268,"")</f>
        <v/>
      </c>
      <c r="J268" s="21">
        <f>IF(OR(A268="",B268=""),"",IF(C268=Yr_Cur,"CY",IF(C268=Yr_Prev,"PY","")))</f>
        <v/>
      </c>
      <c r="K268" s="21">
        <f>IF(J268="","",IF(J268="CY",SUMIFS(Dat_H,Dat_A,A268,Dat_B,B268,Dat_C,Yr_Prev),SUMIFS(Dat_H,Dat_A,A268,Dat_B,B268,Dat_C,Yr_Cur)))</f>
        <v/>
      </c>
      <c r="L268" s="21">
        <f>IF(J268="",0,IF(AND(ISNUMBER(H268),N(K268)&gt;0,ISNUMBER(F268),ISNUMBER(G268),OR(Sel_Market="All markets",A268=Sel_Market),COUNTIFS(Control!$B$11:$B$13,B268,Control!$C$11:$C$13,"Yes")&gt;0),1,0))</f>
        <v/>
      </c>
      <c r="M268" s="21">
        <f>IF(L268=1,IF(J268="CY",H268,K268),"")</f>
        <v/>
      </c>
      <c r="N268" s="21">
        <f>IF(L268=1,IF(J268="PY",H268,K268),"")</f>
        <v/>
      </c>
      <c r="O268" s="23">
        <f>IF(L268=1,IF(J268="PY",F268*M268/N268,F268),0)</f>
        <v/>
      </c>
      <c r="P268" s="23">
        <f>IF(L268=1,IF(J268="PY",G268*M268/N268,G268),0)</f>
        <v/>
      </c>
      <c r="Q268" s="23">
        <f>IF(AND(L268=1,J268="PY"),F268*(N268-M268)/N268,0)</f>
        <v/>
      </c>
      <c r="R268" s="23">
        <f>IF(AND(L268=1,J268="PY"),G268*(N268-M268)/N268,0)</f>
        <v/>
      </c>
      <c r="S268" s="21">
        <f>IF(COUNTA(A268:G268)=0,"",IF(OR(A268="",B268="",NOT(ISNUMBER(C268))),"Fill market, product and year",IF(COUNTIF(Control!$B$11:$B$13,B268)=0,"Unknown product",IF(COUNTIFS(Dat_A,A268,Dat_B,B268,Dat_C,C268)&gt;1,"Duplicate market/product/year",IF(OR(NOT(ISNUMBER(D268)),NOT(ISNUMBER(E268))),"Add launch date and Data through date",IF(E268&lt;D268,"Data through is before launch",IF(OR(NOT(ISNUMBER(F268)),NOT(ISNUMBER(G268))),"Add units and revenue","OK")))))))</f>
        <v/>
      </c>
    </row>
    <row r="269">
      <c r="A269" s="17" t="n"/>
      <c r="B269" s="17" t="n"/>
      <c r="C269" s="17" t="n"/>
      <c r="D269" s="18" t="n"/>
      <c r="E269" s="18" t="n"/>
      <c r="F269" s="19" t="n"/>
      <c r="G269" s="20" t="n"/>
      <c r="H269" s="21">
        <f>IF(AND(ISNUMBER(D269),ISNUMBER(E269)),E269-D269+1,"")</f>
        <v/>
      </c>
      <c r="I269" s="22">
        <f>IF(AND(ISNUMBER(F269),N(F269)&gt;0,ISNUMBER(G269)),G269/F269,"")</f>
        <v/>
      </c>
      <c r="J269" s="21">
        <f>IF(OR(A269="",B269=""),"",IF(C269=Yr_Cur,"CY",IF(C269=Yr_Prev,"PY","")))</f>
        <v/>
      </c>
      <c r="K269" s="21">
        <f>IF(J269="","",IF(J269="CY",SUMIFS(Dat_H,Dat_A,A269,Dat_B,B269,Dat_C,Yr_Prev),SUMIFS(Dat_H,Dat_A,A269,Dat_B,B269,Dat_C,Yr_Cur)))</f>
        <v/>
      </c>
      <c r="L269" s="21">
        <f>IF(J269="",0,IF(AND(ISNUMBER(H269),N(K269)&gt;0,ISNUMBER(F269),ISNUMBER(G269),OR(Sel_Market="All markets",A269=Sel_Market),COUNTIFS(Control!$B$11:$B$13,B269,Control!$C$11:$C$13,"Yes")&gt;0),1,0))</f>
        <v/>
      </c>
      <c r="M269" s="21">
        <f>IF(L269=1,IF(J269="CY",H269,K269),"")</f>
        <v/>
      </c>
      <c r="N269" s="21">
        <f>IF(L269=1,IF(J269="PY",H269,K269),"")</f>
        <v/>
      </c>
      <c r="O269" s="23">
        <f>IF(L269=1,IF(J269="PY",F269*M269/N269,F269),0)</f>
        <v/>
      </c>
      <c r="P269" s="23">
        <f>IF(L269=1,IF(J269="PY",G269*M269/N269,G269),0)</f>
        <v/>
      </c>
      <c r="Q269" s="23">
        <f>IF(AND(L269=1,J269="PY"),F269*(N269-M269)/N269,0)</f>
        <v/>
      </c>
      <c r="R269" s="23">
        <f>IF(AND(L269=1,J269="PY"),G269*(N269-M269)/N269,0)</f>
        <v/>
      </c>
      <c r="S269" s="21">
        <f>IF(COUNTA(A269:G269)=0,"",IF(OR(A269="",B269="",NOT(ISNUMBER(C269))),"Fill market, product and year",IF(COUNTIF(Control!$B$11:$B$13,B269)=0,"Unknown product",IF(COUNTIFS(Dat_A,A269,Dat_B,B269,Dat_C,C269)&gt;1,"Duplicate market/product/year",IF(OR(NOT(ISNUMBER(D269)),NOT(ISNUMBER(E269))),"Add launch date and Data through date",IF(E269&lt;D269,"Data through is before launch",IF(OR(NOT(ISNUMBER(F269)),NOT(ISNUMBER(G269))),"Add units and revenue","OK")))))))</f>
        <v/>
      </c>
    </row>
    <row r="270">
      <c r="A270" s="17" t="n"/>
      <c r="B270" s="17" t="n"/>
      <c r="C270" s="17" t="n"/>
      <c r="D270" s="18" t="n"/>
      <c r="E270" s="18" t="n"/>
      <c r="F270" s="19" t="n"/>
      <c r="G270" s="20" t="n"/>
      <c r="H270" s="21">
        <f>IF(AND(ISNUMBER(D270),ISNUMBER(E270)),E270-D270+1,"")</f>
        <v/>
      </c>
      <c r="I270" s="22">
        <f>IF(AND(ISNUMBER(F270),N(F270)&gt;0,ISNUMBER(G270)),G270/F270,"")</f>
        <v/>
      </c>
      <c r="J270" s="21">
        <f>IF(OR(A270="",B270=""),"",IF(C270=Yr_Cur,"CY",IF(C270=Yr_Prev,"PY","")))</f>
        <v/>
      </c>
      <c r="K270" s="21">
        <f>IF(J270="","",IF(J270="CY",SUMIFS(Dat_H,Dat_A,A270,Dat_B,B270,Dat_C,Yr_Prev),SUMIFS(Dat_H,Dat_A,A270,Dat_B,B270,Dat_C,Yr_Cur)))</f>
        <v/>
      </c>
      <c r="L270" s="21">
        <f>IF(J270="",0,IF(AND(ISNUMBER(H270),N(K270)&gt;0,ISNUMBER(F270),ISNUMBER(G270),OR(Sel_Market="All markets",A270=Sel_Market),COUNTIFS(Control!$B$11:$B$13,B270,Control!$C$11:$C$13,"Yes")&gt;0),1,0))</f>
        <v/>
      </c>
      <c r="M270" s="21">
        <f>IF(L270=1,IF(J270="CY",H270,K270),"")</f>
        <v/>
      </c>
      <c r="N270" s="21">
        <f>IF(L270=1,IF(J270="PY",H270,K270),"")</f>
        <v/>
      </c>
      <c r="O270" s="23">
        <f>IF(L270=1,IF(J270="PY",F270*M270/N270,F270),0)</f>
        <v/>
      </c>
      <c r="P270" s="23">
        <f>IF(L270=1,IF(J270="PY",G270*M270/N270,G270),0)</f>
        <v/>
      </c>
      <c r="Q270" s="23">
        <f>IF(AND(L270=1,J270="PY"),F270*(N270-M270)/N270,0)</f>
        <v/>
      </c>
      <c r="R270" s="23">
        <f>IF(AND(L270=1,J270="PY"),G270*(N270-M270)/N270,0)</f>
        <v/>
      </c>
      <c r="S270" s="21">
        <f>IF(COUNTA(A270:G270)=0,"",IF(OR(A270="",B270="",NOT(ISNUMBER(C270))),"Fill market, product and year",IF(COUNTIF(Control!$B$11:$B$13,B270)=0,"Unknown product",IF(COUNTIFS(Dat_A,A270,Dat_B,B270,Dat_C,C270)&gt;1,"Duplicate market/product/year",IF(OR(NOT(ISNUMBER(D270)),NOT(ISNUMBER(E270))),"Add launch date and Data through date",IF(E270&lt;D270,"Data through is before launch",IF(OR(NOT(ISNUMBER(F270)),NOT(ISNUMBER(G270))),"Add units and revenue","OK")))))))</f>
        <v/>
      </c>
    </row>
    <row r="271">
      <c r="A271" s="17" t="n"/>
      <c r="B271" s="17" t="n"/>
      <c r="C271" s="17" t="n"/>
      <c r="D271" s="18" t="n"/>
      <c r="E271" s="18" t="n"/>
      <c r="F271" s="19" t="n"/>
      <c r="G271" s="20" t="n"/>
      <c r="H271" s="21">
        <f>IF(AND(ISNUMBER(D271),ISNUMBER(E271)),E271-D271+1,"")</f>
        <v/>
      </c>
      <c r="I271" s="22">
        <f>IF(AND(ISNUMBER(F271),N(F271)&gt;0,ISNUMBER(G271)),G271/F271,"")</f>
        <v/>
      </c>
      <c r="J271" s="21">
        <f>IF(OR(A271="",B271=""),"",IF(C271=Yr_Cur,"CY",IF(C271=Yr_Prev,"PY","")))</f>
        <v/>
      </c>
      <c r="K271" s="21">
        <f>IF(J271="","",IF(J271="CY",SUMIFS(Dat_H,Dat_A,A271,Dat_B,B271,Dat_C,Yr_Prev),SUMIFS(Dat_H,Dat_A,A271,Dat_B,B271,Dat_C,Yr_Cur)))</f>
        <v/>
      </c>
      <c r="L271" s="21">
        <f>IF(J271="",0,IF(AND(ISNUMBER(H271),N(K271)&gt;0,ISNUMBER(F271),ISNUMBER(G271),OR(Sel_Market="All markets",A271=Sel_Market),COUNTIFS(Control!$B$11:$B$13,B271,Control!$C$11:$C$13,"Yes")&gt;0),1,0))</f>
        <v/>
      </c>
      <c r="M271" s="21">
        <f>IF(L271=1,IF(J271="CY",H271,K271),"")</f>
        <v/>
      </c>
      <c r="N271" s="21">
        <f>IF(L271=1,IF(J271="PY",H271,K271),"")</f>
        <v/>
      </c>
      <c r="O271" s="23">
        <f>IF(L271=1,IF(J271="PY",F271*M271/N271,F271),0)</f>
        <v/>
      </c>
      <c r="P271" s="23">
        <f>IF(L271=1,IF(J271="PY",G271*M271/N271,G271),0)</f>
        <v/>
      </c>
      <c r="Q271" s="23">
        <f>IF(AND(L271=1,J271="PY"),F271*(N271-M271)/N271,0)</f>
        <v/>
      </c>
      <c r="R271" s="23">
        <f>IF(AND(L271=1,J271="PY"),G271*(N271-M271)/N271,0)</f>
        <v/>
      </c>
      <c r="S271" s="21">
        <f>IF(COUNTA(A271:G271)=0,"",IF(OR(A271="",B271="",NOT(ISNUMBER(C271))),"Fill market, product and year",IF(COUNTIF(Control!$B$11:$B$13,B271)=0,"Unknown product",IF(COUNTIFS(Dat_A,A271,Dat_B,B271,Dat_C,C271)&gt;1,"Duplicate market/product/year",IF(OR(NOT(ISNUMBER(D271)),NOT(ISNUMBER(E271))),"Add launch date and Data through date",IF(E271&lt;D271,"Data through is before launch",IF(OR(NOT(ISNUMBER(F271)),NOT(ISNUMBER(G271))),"Add units and revenue","OK")))))))</f>
        <v/>
      </c>
    </row>
    <row r="272">
      <c r="A272" s="17" t="n"/>
      <c r="B272" s="17" t="n"/>
      <c r="C272" s="17" t="n"/>
      <c r="D272" s="18" t="n"/>
      <c r="E272" s="18" t="n"/>
      <c r="F272" s="19" t="n"/>
      <c r="G272" s="20" t="n"/>
      <c r="H272" s="21">
        <f>IF(AND(ISNUMBER(D272),ISNUMBER(E272)),E272-D272+1,"")</f>
        <v/>
      </c>
      <c r="I272" s="22">
        <f>IF(AND(ISNUMBER(F272),N(F272)&gt;0,ISNUMBER(G272)),G272/F272,"")</f>
        <v/>
      </c>
      <c r="J272" s="21">
        <f>IF(OR(A272="",B272=""),"",IF(C272=Yr_Cur,"CY",IF(C272=Yr_Prev,"PY","")))</f>
        <v/>
      </c>
      <c r="K272" s="21">
        <f>IF(J272="","",IF(J272="CY",SUMIFS(Dat_H,Dat_A,A272,Dat_B,B272,Dat_C,Yr_Prev),SUMIFS(Dat_H,Dat_A,A272,Dat_B,B272,Dat_C,Yr_Cur)))</f>
        <v/>
      </c>
      <c r="L272" s="21">
        <f>IF(J272="",0,IF(AND(ISNUMBER(H272),N(K272)&gt;0,ISNUMBER(F272),ISNUMBER(G272),OR(Sel_Market="All markets",A272=Sel_Market),COUNTIFS(Control!$B$11:$B$13,B272,Control!$C$11:$C$13,"Yes")&gt;0),1,0))</f>
        <v/>
      </c>
      <c r="M272" s="21">
        <f>IF(L272=1,IF(J272="CY",H272,K272),"")</f>
        <v/>
      </c>
      <c r="N272" s="21">
        <f>IF(L272=1,IF(J272="PY",H272,K272),"")</f>
        <v/>
      </c>
      <c r="O272" s="23">
        <f>IF(L272=1,IF(J272="PY",F272*M272/N272,F272),0)</f>
        <v/>
      </c>
      <c r="P272" s="23">
        <f>IF(L272=1,IF(J272="PY",G272*M272/N272,G272),0)</f>
        <v/>
      </c>
      <c r="Q272" s="23">
        <f>IF(AND(L272=1,J272="PY"),F272*(N272-M272)/N272,0)</f>
        <v/>
      </c>
      <c r="R272" s="23">
        <f>IF(AND(L272=1,J272="PY"),G272*(N272-M272)/N272,0)</f>
        <v/>
      </c>
      <c r="S272" s="21">
        <f>IF(COUNTA(A272:G272)=0,"",IF(OR(A272="",B272="",NOT(ISNUMBER(C272))),"Fill market, product and year",IF(COUNTIF(Control!$B$11:$B$13,B272)=0,"Unknown product",IF(COUNTIFS(Dat_A,A272,Dat_B,B272,Dat_C,C272)&gt;1,"Duplicate market/product/year",IF(OR(NOT(ISNUMBER(D272)),NOT(ISNUMBER(E272))),"Add launch date and Data through date",IF(E272&lt;D272,"Data through is before launch",IF(OR(NOT(ISNUMBER(F272)),NOT(ISNUMBER(G272))),"Add units and revenue","OK")))))))</f>
        <v/>
      </c>
    </row>
    <row r="273">
      <c r="A273" s="17" t="n"/>
      <c r="B273" s="17" t="n"/>
      <c r="C273" s="17" t="n"/>
      <c r="D273" s="18" t="n"/>
      <c r="E273" s="18" t="n"/>
      <c r="F273" s="19" t="n"/>
      <c r="G273" s="20" t="n"/>
      <c r="H273" s="21">
        <f>IF(AND(ISNUMBER(D273),ISNUMBER(E273)),E273-D273+1,"")</f>
        <v/>
      </c>
      <c r="I273" s="22">
        <f>IF(AND(ISNUMBER(F273),N(F273)&gt;0,ISNUMBER(G273)),G273/F273,"")</f>
        <v/>
      </c>
      <c r="J273" s="21">
        <f>IF(OR(A273="",B273=""),"",IF(C273=Yr_Cur,"CY",IF(C273=Yr_Prev,"PY","")))</f>
        <v/>
      </c>
      <c r="K273" s="21">
        <f>IF(J273="","",IF(J273="CY",SUMIFS(Dat_H,Dat_A,A273,Dat_B,B273,Dat_C,Yr_Prev),SUMIFS(Dat_H,Dat_A,A273,Dat_B,B273,Dat_C,Yr_Cur)))</f>
        <v/>
      </c>
      <c r="L273" s="21">
        <f>IF(J273="",0,IF(AND(ISNUMBER(H273),N(K273)&gt;0,ISNUMBER(F273),ISNUMBER(G273),OR(Sel_Market="All markets",A273=Sel_Market),COUNTIFS(Control!$B$11:$B$13,B273,Control!$C$11:$C$13,"Yes")&gt;0),1,0))</f>
        <v/>
      </c>
      <c r="M273" s="21">
        <f>IF(L273=1,IF(J273="CY",H273,K273),"")</f>
        <v/>
      </c>
      <c r="N273" s="21">
        <f>IF(L273=1,IF(J273="PY",H273,K273),"")</f>
        <v/>
      </c>
      <c r="O273" s="23">
        <f>IF(L273=1,IF(J273="PY",F273*M273/N273,F273),0)</f>
        <v/>
      </c>
      <c r="P273" s="23">
        <f>IF(L273=1,IF(J273="PY",G273*M273/N273,G273),0)</f>
        <v/>
      </c>
      <c r="Q273" s="23">
        <f>IF(AND(L273=1,J273="PY"),F273*(N273-M273)/N273,0)</f>
        <v/>
      </c>
      <c r="R273" s="23">
        <f>IF(AND(L273=1,J273="PY"),G273*(N273-M273)/N273,0)</f>
        <v/>
      </c>
      <c r="S273" s="21">
        <f>IF(COUNTA(A273:G273)=0,"",IF(OR(A273="",B273="",NOT(ISNUMBER(C273))),"Fill market, product and year",IF(COUNTIF(Control!$B$11:$B$13,B273)=0,"Unknown product",IF(COUNTIFS(Dat_A,A273,Dat_B,B273,Dat_C,C273)&gt;1,"Duplicate market/product/year",IF(OR(NOT(ISNUMBER(D273)),NOT(ISNUMBER(E273))),"Add launch date and Data through date",IF(E273&lt;D273,"Data through is before launch",IF(OR(NOT(ISNUMBER(F273)),NOT(ISNUMBER(G273))),"Add units and revenue","OK")))))))</f>
        <v/>
      </c>
    </row>
    <row r="274">
      <c r="A274" s="17" t="n"/>
      <c r="B274" s="17" t="n"/>
      <c r="C274" s="17" t="n"/>
      <c r="D274" s="18" t="n"/>
      <c r="E274" s="18" t="n"/>
      <c r="F274" s="19" t="n"/>
      <c r="G274" s="20" t="n"/>
      <c r="H274" s="21">
        <f>IF(AND(ISNUMBER(D274),ISNUMBER(E274)),E274-D274+1,"")</f>
        <v/>
      </c>
      <c r="I274" s="22">
        <f>IF(AND(ISNUMBER(F274),N(F274)&gt;0,ISNUMBER(G274)),G274/F274,"")</f>
        <v/>
      </c>
      <c r="J274" s="21">
        <f>IF(OR(A274="",B274=""),"",IF(C274=Yr_Cur,"CY",IF(C274=Yr_Prev,"PY","")))</f>
        <v/>
      </c>
      <c r="K274" s="21">
        <f>IF(J274="","",IF(J274="CY",SUMIFS(Dat_H,Dat_A,A274,Dat_B,B274,Dat_C,Yr_Prev),SUMIFS(Dat_H,Dat_A,A274,Dat_B,B274,Dat_C,Yr_Cur)))</f>
        <v/>
      </c>
      <c r="L274" s="21">
        <f>IF(J274="",0,IF(AND(ISNUMBER(H274),N(K274)&gt;0,ISNUMBER(F274),ISNUMBER(G274),OR(Sel_Market="All markets",A274=Sel_Market),COUNTIFS(Control!$B$11:$B$13,B274,Control!$C$11:$C$13,"Yes")&gt;0),1,0))</f>
        <v/>
      </c>
      <c r="M274" s="21">
        <f>IF(L274=1,IF(J274="CY",H274,K274),"")</f>
        <v/>
      </c>
      <c r="N274" s="21">
        <f>IF(L274=1,IF(J274="PY",H274,K274),"")</f>
        <v/>
      </c>
      <c r="O274" s="23">
        <f>IF(L274=1,IF(J274="PY",F274*M274/N274,F274),0)</f>
        <v/>
      </c>
      <c r="P274" s="23">
        <f>IF(L274=1,IF(J274="PY",G274*M274/N274,G274),0)</f>
        <v/>
      </c>
      <c r="Q274" s="23">
        <f>IF(AND(L274=1,J274="PY"),F274*(N274-M274)/N274,0)</f>
        <v/>
      </c>
      <c r="R274" s="23">
        <f>IF(AND(L274=1,J274="PY"),G274*(N274-M274)/N274,0)</f>
        <v/>
      </c>
      <c r="S274" s="21">
        <f>IF(COUNTA(A274:G274)=0,"",IF(OR(A274="",B274="",NOT(ISNUMBER(C274))),"Fill market, product and year",IF(COUNTIF(Control!$B$11:$B$13,B274)=0,"Unknown product",IF(COUNTIFS(Dat_A,A274,Dat_B,B274,Dat_C,C274)&gt;1,"Duplicate market/product/year",IF(OR(NOT(ISNUMBER(D274)),NOT(ISNUMBER(E274))),"Add launch date and Data through date",IF(E274&lt;D274,"Data through is before launch",IF(OR(NOT(ISNUMBER(F274)),NOT(ISNUMBER(G274))),"Add units and revenue","OK")))))))</f>
        <v/>
      </c>
    </row>
    <row r="275">
      <c r="A275" s="17" t="n"/>
      <c r="B275" s="17" t="n"/>
      <c r="C275" s="17" t="n"/>
      <c r="D275" s="18" t="n"/>
      <c r="E275" s="18" t="n"/>
      <c r="F275" s="19" t="n"/>
      <c r="G275" s="20" t="n"/>
      <c r="H275" s="21">
        <f>IF(AND(ISNUMBER(D275),ISNUMBER(E275)),E275-D275+1,"")</f>
        <v/>
      </c>
      <c r="I275" s="22">
        <f>IF(AND(ISNUMBER(F275),N(F275)&gt;0,ISNUMBER(G275)),G275/F275,"")</f>
        <v/>
      </c>
      <c r="J275" s="21">
        <f>IF(OR(A275="",B275=""),"",IF(C275=Yr_Cur,"CY",IF(C275=Yr_Prev,"PY","")))</f>
        <v/>
      </c>
      <c r="K275" s="21">
        <f>IF(J275="","",IF(J275="CY",SUMIFS(Dat_H,Dat_A,A275,Dat_B,B275,Dat_C,Yr_Prev),SUMIFS(Dat_H,Dat_A,A275,Dat_B,B275,Dat_C,Yr_Cur)))</f>
        <v/>
      </c>
      <c r="L275" s="21">
        <f>IF(J275="",0,IF(AND(ISNUMBER(H275),N(K275)&gt;0,ISNUMBER(F275),ISNUMBER(G275),OR(Sel_Market="All markets",A275=Sel_Market),COUNTIFS(Control!$B$11:$B$13,B275,Control!$C$11:$C$13,"Yes")&gt;0),1,0))</f>
        <v/>
      </c>
      <c r="M275" s="21">
        <f>IF(L275=1,IF(J275="CY",H275,K275),"")</f>
        <v/>
      </c>
      <c r="N275" s="21">
        <f>IF(L275=1,IF(J275="PY",H275,K275),"")</f>
        <v/>
      </c>
      <c r="O275" s="23">
        <f>IF(L275=1,IF(J275="PY",F275*M275/N275,F275),0)</f>
        <v/>
      </c>
      <c r="P275" s="23">
        <f>IF(L275=1,IF(J275="PY",G275*M275/N275,G275),0)</f>
        <v/>
      </c>
      <c r="Q275" s="23">
        <f>IF(AND(L275=1,J275="PY"),F275*(N275-M275)/N275,0)</f>
        <v/>
      </c>
      <c r="R275" s="23">
        <f>IF(AND(L275=1,J275="PY"),G275*(N275-M275)/N275,0)</f>
        <v/>
      </c>
      <c r="S275" s="21">
        <f>IF(COUNTA(A275:G275)=0,"",IF(OR(A275="",B275="",NOT(ISNUMBER(C275))),"Fill market, product and year",IF(COUNTIF(Control!$B$11:$B$13,B275)=0,"Unknown product",IF(COUNTIFS(Dat_A,A275,Dat_B,B275,Dat_C,C275)&gt;1,"Duplicate market/product/year",IF(OR(NOT(ISNUMBER(D275)),NOT(ISNUMBER(E275))),"Add launch date and Data through date",IF(E275&lt;D275,"Data through is before launch",IF(OR(NOT(ISNUMBER(F275)),NOT(ISNUMBER(G275))),"Add units and revenue","OK")))))))</f>
        <v/>
      </c>
    </row>
    <row r="276">
      <c r="A276" s="17" t="n"/>
      <c r="B276" s="17" t="n"/>
      <c r="C276" s="17" t="n"/>
      <c r="D276" s="18" t="n"/>
      <c r="E276" s="18" t="n"/>
      <c r="F276" s="19" t="n"/>
      <c r="G276" s="20" t="n"/>
      <c r="H276" s="21">
        <f>IF(AND(ISNUMBER(D276),ISNUMBER(E276)),E276-D276+1,"")</f>
        <v/>
      </c>
      <c r="I276" s="22">
        <f>IF(AND(ISNUMBER(F276),N(F276)&gt;0,ISNUMBER(G276)),G276/F276,"")</f>
        <v/>
      </c>
      <c r="J276" s="21">
        <f>IF(OR(A276="",B276=""),"",IF(C276=Yr_Cur,"CY",IF(C276=Yr_Prev,"PY","")))</f>
        <v/>
      </c>
      <c r="K276" s="21">
        <f>IF(J276="","",IF(J276="CY",SUMIFS(Dat_H,Dat_A,A276,Dat_B,B276,Dat_C,Yr_Prev),SUMIFS(Dat_H,Dat_A,A276,Dat_B,B276,Dat_C,Yr_Cur)))</f>
        <v/>
      </c>
      <c r="L276" s="21">
        <f>IF(J276="",0,IF(AND(ISNUMBER(H276),N(K276)&gt;0,ISNUMBER(F276),ISNUMBER(G276),OR(Sel_Market="All markets",A276=Sel_Market),COUNTIFS(Control!$B$11:$B$13,B276,Control!$C$11:$C$13,"Yes")&gt;0),1,0))</f>
        <v/>
      </c>
      <c r="M276" s="21">
        <f>IF(L276=1,IF(J276="CY",H276,K276),"")</f>
        <v/>
      </c>
      <c r="N276" s="21">
        <f>IF(L276=1,IF(J276="PY",H276,K276),"")</f>
        <v/>
      </c>
      <c r="O276" s="23">
        <f>IF(L276=1,IF(J276="PY",F276*M276/N276,F276),0)</f>
        <v/>
      </c>
      <c r="P276" s="23">
        <f>IF(L276=1,IF(J276="PY",G276*M276/N276,G276),0)</f>
        <v/>
      </c>
      <c r="Q276" s="23">
        <f>IF(AND(L276=1,J276="PY"),F276*(N276-M276)/N276,0)</f>
        <v/>
      </c>
      <c r="R276" s="23">
        <f>IF(AND(L276=1,J276="PY"),G276*(N276-M276)/N276,0)</f>
        <v/>
      </c>
      <c r="S276" s="21">
        <f>IF(COUNTA(A276:G276)=0,"",IF(OR(A276="",B276="",NOT(ISNUMBER(C276))),"Fill market, product and year",IF(COUNTIF(Control!$B$11:$B$13,B276)=0,"Unknown product",IF(COUNTIFS(Dat_A,A276,Dat_B,B276,Dat_C,C276)&gt;1,"Duplicate market/product/year",IF(OR(NOT(ISNUMBER(D276)),NOT(ISNUMBER(E276))),"Add launch date and Data through date",IF(E276&lt;D276,"Data through is before launch",IF(OR(NOT(ISNUMBER(F276)),NOT(ISNUMBER(G276))),"Add units and revenue","OK")))))))</f>
        <v/>
      </c>
    </row>
    <row r="277">
      <c r="A277" s="17" t="n"/>
      <c r="B277" s="17" t="n"/>
      <c r="C277" s="17" t="n"/>
      <c r="D277" s="18" t="n"/>
      <c r="E277" s="18" t="n"/>
      <c r="F277" s="19" t="n"/>
      <c r="G277" s="20" t="n"/>
      <c r="H277" s="21">
        <f>IF(AND(ISNUMBER(D277),ISNUMBER(E277)),E277-D277+1,"")</f>
        <v/>
      </c>
      <c r="I277" s="22">
        <f>IF(AND(ISNUMBER(F277),N(F277)&gt;0,ISNUMBER(G277)),G277/F277,"")</f>
        <v/>
      </c>
      <c r="J277" s="21">
        <f>IF(OR(A277="",B277=""),"",IF(C277=Yr_Cur,"CY",IF(C277=Yr_Prev,"PY","")))</f>
        <v/>
      </c>
      <c r="K277" s="21">
        <f>IF(J277="","",IF(J277="CY",SUMIFS(Dat_H,Dat_A,A277,Dat_B,B277,Dat_C,Yr_Prev),SUMIFS(Dat_H,Dat_A,A277,Dat_B,B277,Dat_C,Yr_Cur)))</f>
        <v/>
      </c>
      <c r="L277" s="21">
        <f>IF(J277="",0,IF(AND(ISNUMBER(H277),N(K277)&gt;0,ISNUMBER(F277),ISNUMBER(G277),OR(Sel_Market="All markets",A277=Sel_Market),COUNTIFS(Control!$B$11:$B$13,B277,Control!$C$11:$C$13,"Yes")&gt;0),1,0))</f>
        <v/>
      </c>
      <c r="M277" s="21">
        <f>IF(L277=1,IF(J277="CY",H277,K277),"")</f>
        <v/>
      </c>
      <c r="N277" s="21">
        <f>IF(L277=1,IF(J277="PY",H277,K277),"")</f>
        <v/>
      </c>
      <c r="O277" s="23">
        <f>IF(L277=1,IF(J277="PY",F277*M277/N277,F277),0)</f>
        <v/>
      </c>
      <c r="P277" s="23">
        <f>IF(L277=1,IF(J277="PY",G277*M277/N277,G277),0)</f>
        <v/>
      </c>
      <c r="Q277" s="23">
        <f>IF(AND(L277=1,J277="PY"),F277*(N277-M277)/N277,0)</f>
        <v/>
      </c>
      <c r="R277" s="23">
        <f>IF(AND(L277=1,J277="PY"),G277*(N277-M277)/N277,0)</f>
        <v/>
      </c>
      <c r="S277" s="21">
        <f>IF(COUNTA(A277:G277)=0,"",IF(OR(A277="",B277="",NOT(ISNUMBER(C277))),"Fill market, product and year",IF(COUNTIF(Control!$B$11:$B$13,B277)=0,"Unknown product",IF(COUNTIFS(Dat_A,A277,Dat_B,B277,Dat_C,C277)&gt;1,"Duplicate market/product/year",IF(OR(NOT(ISNUMBER(D277)),NOT(ISNUMBER(E277))),"Add launch date and Data through date",IF(E277&lt;D277,"Data through is before launch",IF(OR(NOT(ISNUMBER(F277)),NOT(ISNUMBER(G277))),"Add units and revenue","OK")))))))</f>
        <v/>
      </c>
    </row>
    <row r="278">
      <c r="A278" s="17" t="n"/>
      <c r="B278" s="17" t="n"/>
      <c r="C278" s="17" t="n"/>
      <c r="D278" s="18" t="n"/>
      <c r="E278" s="18" t="n"/>
      <c r="F278" s="19" t="n"/>
      <c r="G278" s="20" t="n"/>
      <c r="H278" s="21">
        <f>IF(AND(ISNUMBER(D278),ISNUMBER(E278)),E278-D278+1,"")</f>
        <v/>
      </c>
      <c r="I278" s="22">
        <f>IF(AND(ISNUMBER(F278),N(F278)&gt;0,ISNUMBER(G278)),G278/F278,"")</f>
        <v/>
      </c>
      <c r="J278" s="21">
        <f>IF(OR(A278="",B278=""),"",IF(C278=Yr_Cur,"CY",IF(C278=Yr_Prev,"PY","")))</f>
        <v/>
      </c>
      <c r="K278" s="21">
        <f>IF(J278="","",IF(J278="CY",SUMIFS(Dat_H,Dat_A,A278,Dat_B,B278,Dat_C,Yr_Prev),SUMIFS(Dat_H,Dat_A,A278,Dat_B,B278,Dat_C,Yr_Cur)))</f>
        <v/>
      </c>
      <c r="L278" s="21">
        <f>IF(J278="",0,IF(AND(ISNUMBER(H278),N(K278)&gt;0,ISNUMBER(F278),ISNUMBER(G278),OR(Sel_Market="All markets",A278=Sel_Market),COUNTIFS(Control!$B$11:$B$13,B278,Control!$C$11:$C$13,"Yes")&gt;0),1,0))</f>
        <v/>
      </c>
      <c r="M278" s="21">
        <f>IF(L278=1,IF(J278="CY",H278,K278),"")</f>
        <v/>
      </c>
      <c r="N278" s="21">
        <f>IF(L278=1,IF(J278="PY",H278,K278),"")</f>
        <v/>
      </c>
      <c r="O278" s="23">
        <f>IF(L278=1,IF(J278="PY",F278*M278/N278,F278),0)</f>
        <v/>
      </c>
      <c r="P278" s="23">
        <f>IF(L278=1,IF(J278="PY",G278*M278/N278,G278),0)</f>
        <v/>
      </c>
      <c r="Q278" s="23">
        <f>IF(AND(L278=1,J278="PY"),F278*(N278-M278)/N278,0)</f>
        <v/>
      </c>
      <c r="R278" s="23">
        <f>IF(AND(L278=1,J278="PY"),G278*(N278-M278)/N278,0)</f>
        <v/>
      </c>
      <c r="S278" s="21">
        <f>IF(COUNTA(A278:G278)=0,"",IF(OR(A278="",B278="",NOT(ISNUMBER(C278))),"Fill market, product and year",IF(COUNTIF(Control!$B$11:$B$13,B278)=0,"Unknown product",IF(COUNTIFS(Dat_A,A278,Dat_B,B278,Dat_C,C278)&gt;1,"Duplicate market/product/year",IF(OR(NOT(ISNUMBER(D278)),NOT(ISNUMBER(E278))),"Add launch date and Data through date",IF(E278&lt;D278,"Data through is before launch",IF(OR(NOT(ISNUMBER(F278)),NOT(ISNUMBER(G278))),"Add units and revenue","OK")))))))</f>
        <v/>
      </c>
    </row>
    <row r="279">
      <c r="A279" s="17" t="n"/>
      <c r="B279" s="17" t="n"/>
      <c r="C279" s="17" t="n"/>
      <c r="D279" s="18" t="n"/>
      <c r="E279" s="18" t="n"/>
      <c r="F279" s="19" t="n"/>
      <c r="G279" s="20" t="n"/>
      <c r="H279" s="21">
        <f>IF(AND(ISNUMBER(D279),ISNUMBER(E279)),E279-D279+1,"")</f>
        <v/>
      </c>
      <c r="I279" s="22">
        <f>IF(AND(ISNUMBER(F279),N(F279)&gt;0,ISNUMBER(G279)),G279/F279,"")</f>
        <v/>
      </c>
      <c r="J279" s="21">
        <f>IF(OR(A279="",B279=""),"",IF(C279=Yr_Cur,"CY",IF(C279=Yr_Prev,"PY","")))</f>
        <v/>
      </c>
      <c r="K279" s="21">
        <f>IF(J279="","",IF(J279="CY",SUMIFS(Dat_H,Dat_A,A279,Dat_B,B279,Dat_C,Yr_Prev),SUMIFS(Dat_H,Dat_A,A279,Dat_B,B279,Dat_C,Yr_Cur)))</f>
        <v/>
      </c>
      <c r="L279" s="21">
        <f>IF(J279="",0,IF(AND(ISNUMBER(H279),N(K279)&gt;0,ISNUMBER(F279),ISNUMBER(G279),OR(Sel_Market="All markets",A279=Sel_Market),COUNTIFS(Control!$B$11:$B$13,B279,Control!$C$11:$C$13,"Yes")&gt;0),1,0))</f>
        <v/>
      </c>
      <c r="M279" s="21">
        <f>IF(L279=1,IF(J279="CY",H279,K279),"")</f>
        <v/>
      </c>
      <c r="N279" s="21">
        <f>IF(L279=1,IF(J279="PY",H279,K279),"")</f>
        <v/>
      </c>
      <c r="O279" s="23">
        <f>IF(L279=1,IF(J279="PY",F279*M279/N279,F279),0)</f>
        <v/>
      </c>
      <c r="P279" s="23">
        <f>IF(L279=1,IF(J279="PY",G279*M279/N279,G279),0)</f>
        <v/>
      </c>
      <c r="Q279" s="23">
        <f>IF(AND(L279=1,J279="PY"),F279*(N279-M279)/N279,0)</f>
        <v/>
      </c>
      <c r="R279" s="23">
        <f>IF(AND(L279=1,J279="PY"),G279*(N279-M279)/N279,0)</f>
        <v/>
      </c>
      <c r="S279" s="21">
        <f>IF(COUNTA(A279:G279)=0,"",IF(OR(A279="",B279="",NOT(ISNUMBER(C279))),"Fill market, product and year",IF(COUNTIF(Control!$B$11:$B$13,B279)=0,"Unknown product",IF(COUNTIFS(Dat_A,A279,Dat_B,B279,Dat_C,C279)&gt;1,"Duplicate market/product/year",IF(OR(NOT(ISNUMBER(D279)),NOT(ISNUMBER(E279))),"Add launch date and Data through date",IF(E279&lt;D279,"Data through is before launch",IF(OR(NOT(ISNUMBER(F279)),NOT(ISNUMBER(G279))),"Add units and revenue","OK")))))))</f>
        <v/>
      </c>
    </row>
    <row r="280">
      <c r="A280" s="17" t="n"/>
      <c r="B280" s="17" t="n"/>
      <c r="C280" s="17" t="n"/>
      <c r="D280" s="18" t="n"/>
      <c r="E280" s="18" t="n"/>
      <c r="F280" s="19" t="n"/>
      <c r="G280" s="20" t="n"/>
      <c r="H280" s="21">
        <f>IF(AND(ISNUMBER(D280),ISNUMBER(E280)),E280-D280+1,"")</f>
        <v/>
      </c>
      <c r="I280" s="22">
        <f>IF(AND(ISNUMBER(F280),N(F280)&gt;0,ISNUMBER(G280)),G280/F280,"")</f>
        <v/>
      </c>
      <c r="J280" s="21">
        <f>IF(OR(A280="",B280=""),"",IF(C280=Yr_Cur,"CY",IF(C280=Yr_Prev,"PY","")))</f>
        <v/>
      </c>
      <c r="K280" s="21">
        <f>IF(J280="","",IF(J280="CY",SUMIFS(Dat_H,Dat_A,A280,Dat_B,B280,Dat_C,Yr_Prev),SUMIFS(Dat_H,Dat_A,A280,Dat_B,B280,Dat_C,Yr_Cur)))</f>
        <v/>
      </c>
      <c r="L280" s="21">
        <f>IF(J280="",0,IF(AND(ISNUMBER(H280),N(K280)&gt;0,ISNUMBER(F280),ISNUMBER(G280),OR(Sel_Market="All markets",A280=Sel_Market),COUNTIFS(Control!$B$11:$B$13,B280,Control!$C$11:$C$13,"Yes")&gt;0),1,0))</f>
        <v/>
      </c>
      <c r="M280" s="21">
        <f>IF(L280=1,IF(J280="CY",H280,K280),"")</f>
        <v/>
      </c>
      <c r="N280" s="21">
        <f>IF(L280=1,IF(J280="PY",H280,K280),"")</f>
        <v/>
      </c>
      <c r="O280" s="23">
        <f>IF(L280=1,IF(J280="PY",F280*M280/N280,F280),0)</f>
        <v/>
      </c>
      <c r="P280" s="23">
        <f>IF(L280=1,IF(J280="PY",G280*M280/N280,G280),0)</f>
        <v/>
      </c>
      <c r="Q280" s="23">
        <f>IF(AND(L280=1,J280="PY"),F280*(N280-M280)/N280,0)</f>
        <v/>
      </c>
      <c r="R280" s="23">
        <f>IF(AND(L280=1,J280="PY"),G280*(N280-M280)/N280,0)</f>
        <v/>
      </c>
      <c r="S280" s="21">
        <f>IF(COUNTA(A280:G280)=0,"",IF(OR(A280="",B280="",NOT(ISNUMBER(C280))),"Fill market, product and year",IF(COUNTIF(Control!$B$11:$B$13,B280)=0,"Unknown product",IF(COUNTIFS(Dat_A,A280,Dat_B,B280,Dat_C,C280)&gt;1,"Duplicate market/product/year",IF(OR(NOT(ISNUMBER(D280)),NOT(ISNUMBER(E280))),"Add launch date and Data through date",IF(E280&lt;D280,"Data through is before launch",IF(OR(NOT(ISNUMBER(F280)),NOT(ISNUMBER(G280))),"Add units and revenue","OK")))))))</f>
        <v/>
      </c>
    </row>
    <row r="281">
      <c r="A281" s="17" t="n"/>
      <c r="B281" s="17" t="n"/>
      <c r="C281" s="17" t="n"/>
      <c r="D281" s="18" t="n"/>
      <c r="E281" s="18" t="n"/>
      <c r="F281" s="19" t="n"/>
      <c r="G281" s="20" t="n"/>
      <c r="H281" s="21">
        <f>IF(AND(ISNUMBER(D281),ISNUMBER(E281)),E281-D281+1,"")</f>
        <v/>
      </c>
      <c r="I281" s="22">
        <f>IF(AND(ISNUMBER(F281),N(F281)&gt;0,ISNUMBER(G281)),G281/F281,"")</f>
        <v/>
      </c>
      <c r="J281" s="21">
        <f>IF(OR(A281="",B281=""),"",IF(C281=Yr_Cur,"CY",IF(C281=Yr_Prev,"PY","")))</f>
        <v/>
      </c>
      <c r="K281" s="21">
        <f>IF(J281="","",IF(J281="CY",SUMIFS(Dat_H,Dat_A,A281,Dat_B,B281,Dat_C,Yr_Prev),SUMIFS(Dat_H,Dat_A,A281,Dat_B,B281,Dat_C,Yr_Cur)))</f>
        <v/>
      </c>
      <c r="L281" s="21">
        <f>IF(J281="",0,IF(AND(ISNUMBER(H281),N(K281)&gt;0,ISNUMBER(F281),ISNUMBER(G281),OR(Sel_Market="All markets",A281=Sel_Market),COUNTIFS(Control!$B$11:$B$13,B281,Control!$C$11:$C$13,"Yes")&gt;0),1,0))</f>
        <v/>
      </c>
      <c r="M281" s="21">
        <f>IF(L281=1,IF(J281="CY",H281,K281),"")</f>
        <v/>
      </c>
      <c r="N281" s="21">
        <f>IF(L281=1,IF(J281="PY",H281,K281),"")</f>
        <v/>
      </c>
      <c r="O281" s="23">
        <f>IF(L281=1,IF(J281="PY",F281*M281/N281,F281),0)</f>
        <v/>
      </c>
      <c r="P281" s="23">
        <f>IF(L281=1,IF(J281="PY",G281*M281/N281,G281),0)</f>
        <v/>
      </c>
      <c r="Q281" s="23">
        <f>IF(AND(L281=1,J281="PY"),F281*(N281-M281)/N281,0)</f>
        <v/>
      </c>
      <c r="R281" s="23">
        <f>IF(AND(L281=1,J281="PY"),G281*(N281-M281)/N281,0)</f>
        <v/>
      </c>
      <c r="S281" s="21">
        <f>IF(COUNTA(A281:G281)=0,"",IF(OR(A281="",B281="",NOT(ISNUMBER(C281))),"Fill market, product and year",IF(COUNTIF(Control!$B$11:$B$13,B281)=0,"Unknown product",IF(COUNTIFS(Dat_A,A281,Dat_B,B281,Dat_C,C281)&gt;1,"Duplicate market/product/year",IF(OR(NOT(ISNUMBER(D281)),NOT(ISNUMBER(E281))),"Add launch date and Data through date",IF(E281&lt;D281,"Data through is before launch",IF(OR(NOT(ISNUMBER(F281)),NOT(ISNUMBER(G281))),"Add units and revenue","OK")))))))</f>
        <v/>
      </c>
    </row>
    <row r="282">
      <c r="A282" s="17" t="n"/>
      <c r="B282" s="17" t="n"/>
      <c r="C282" s="17" t="n"/>
      <c r="D282" s="18" t="n"/>
      <c r="E282" s="18" t="n"/>
      <c r="F282" s="19" t="n"/>
      <c r="G282" s="20" t="n"/>
      <c r="H282" s="21">
        <f>IF(AND(ISNUMBER(D282),ISNUMBER(E282)),E282-D282+1,"")</f>
        <v/>
      </c>
      <c r="I282" s="22">
        <f>IF(AND(ISNUMBER(F282),N(F282)&gt;0,ISNUMBER(G282)),G282/F282,"")</f>
        <v/>
      </c>
      <c r="J282" s="21">
        <f>IF(OR(A282="",B282=""),"",IF(C282=Yr_Cur,"CY",IF(C282=Yr_Prev,"PY","")))</f>
        <v/>
      </c>
      <c r="K282" s="21">
        <f>IF(J282="","",IF(J282="CY",SUMIFS(Dat_H,Dat_A,A282,Dat_B,B282,Dat_C,Yr_Prev),SUMIFS(Dat_H,Dat_A,A282,Dat_B,B282,Dat_C,Yr_Cur)))</f>
        <v/>
      </c>
      <c r="L282" s="21">
        <f>IF(J282="",0,IF(AND(ISNUMBER(H282),N(K282)&gt;0,ISNUMBER(F282),ISNUMBER(G282),OR(Sel_Market="All markets",A282=Sel_Market),COUNTIFS(Control!$B$11:$B$13,B282,Control!$C$11:$C$13,"Yes")&gt;0),1,0))</f>
        <v/>
      </c>
      <c r="M282" s="21">
        <f>IF(L282=1,IF(J282="CY",H282,K282),"")</f>
        <v/>
      </c>
      <c r="N282" s="21">
        <f>IF(L282=1,IF(J282="PY",H282,K282),"")</f>
        <v/>
      </c>
      <c r="O282" s="23">
        <f>IF(L282=1,IF(J282="PY",F282*M282/N282,F282),0)</f>
        <v/>
      </c>
      <c r="P282" s="23">
        <f>IF(L282=1,IF(J282="PY",G282*M282/N282,G282),0)</f>
        <v/>
      </c>
      <c r="Q282" s="23">
        <f>IF(AND(L282=1,J282="PY"),F282*(N282-M282)/N282,0)</f>
        <v/>
      </c>
      <c r="R282" s="23">
        <f>IF(AND(L282=1,J282="PY"),G282*(N282-M282)/N282,0)</f>
        <v/>
      </c>
      <c r="S282" s="21">
        <f>IF(COUNTA(A282:G282)=0,"",IF(OR(A282="",B282="",NOT(ISNUMBER(C282))),"Fill market, product and year",IF(COUNTIF(Control!$B$11:$B$13,B282)=0,"Unknown product",IF(COUNTIFS(Dat_A,A282,Dat_B,B282,Dat_C,C282)&gt;1,"Duplicate market/product/year",IF(OR(NOT(ISNUMBER(D282)),NOT(ISNUMBER(E282))),"Add launch date and Data through date",IF(E282&lt;D282,"Data through is before launch",IF(OR(NOT(ISNUMBER(F282)),NOT(ISNUMBER(G282))),"Add units and revenue","OK")))))))</f>
        <v/>
      </c>
    </row>
    <row r="283">
      <c r="A283" s="17" t="n"/>
      <c r="B283" s="17" t="n"/>
      <c r="C283" s="17" t="n"/>
      <c r="D283" s="18" t="n"/>
      <c r="E283" s="18" t="n"/>
      <c r="F283" s="19" t="n"/>
      <c r="G283" s="20" t="n"/>
      <c r="H283" s="21">
        <f>IF(AND(ISNUMBER(D283),ISNUMBER(E283)),E283-D283+1,"")</f>
        <v/>
      </c>
      <c r="I283" s="22">
        <f>IF(AND(ISNUMBER(F283),N(F283)&gt;0,ISNUMBER(G283)),G283/F283,"")</f>
        <v/>
      </c>
      <c r="J283" s="21">
        <f>IF(OR(A283="",B283=""),"",IF(C283=Yr_Cur,"CY",IF(C283=Yr_Prev,"PY","")))</f>
        <v/>
      </c>
      <c r="K283" s="21">
        <f>IF(J283="","",IF(J283="CY",SUMIFS(Dat_H,Dat_A,A283,Dat_B,B283,Dat_C,Yr_Prev),SUMIFS(Dat_H,Dat_A,A283,Dat_B,B283,Dat_C,Yr_Cur)))</f>
        <v/>
      </c>
      <c r="L283" s="21">
        <f>IF(J283="",0,IF(AND(ISNUMBER(H283),N(K283)&gt;0,ISNUMBER(F283),ISNUMBER(G283),OR(Sel_Market="All markets",A283=Sel_Market),COUNTIFS(Control!$B$11:$B$13,B283,Control!$C$11:$C$13,"Yes")&gt;0),1,0))</f>
        <v/>
      </c>
      <c r="M283" s="21">
        <f>IF(L283=1,IF(J283="CY",H283,K283),"")</f>
        <v/>
      </c>
      <c r="N283" s="21">
        <f>IF(L283=1,IF(J283="PY",H283,K283),"")</f>
        <v/>
      </c>
      <c r="O283" s="23">
        <f>IF(L283=1,IF(J283="PY",F283*M283/N283,F283),0)</f>
        <v/>
      </c>
      <c r="P283" s="23">
        <f>IF(L283=1,IF(J283="PY",G283*M283/N283,G283),0)</f>
        <v/>
      </c>
      <c r="Q283" s="23">
        <f>IF(AND(L283=1,J283="PY"),F283*(N283-M283)/N283,0)</f>
        <v/>
      </c>
      <c r="R283" s="23">
        <f>IF(AND(L283=1,J283="PY"),G283*(N283-M283)/N283,0)</f>
        <v/>
      </c>
      <c r="S283" s="21">
        <f>IF(COUNTA(A283:G283)=0,"",IF(OR(A283="",B283="",NOT(ISNUMBER(C283))),"Fill market, product and year",IF(COUNTIF(Control!$B$11:$B$13,B283)=0,"Unknown product",IF(COUNTIFS(Dat_A,A283,Dat_B,B283,Dat_C,C283)&gt;1,"Duplicate market/product/year",IF(OR(NOT(ISNUMBER(D283)),NOT(ISNUMBER(E283))),"Add launch date and Data through date",IF(E283&lt;D283,"Data through is before launch",IF(OR(NOT(ISNUMBER(F283)),NOT(ISNUMBER(G283))),"Add units and revenue","OK")))))))</f>
        <v/>
      </c>
    </row>
    <row r="284">
      <c r="A284" s="17" t="n"/>
      <c r="B284" s="17" t="n"/>
      <c r="C284" s="17" t="n"/>
      <c r="D284" s="18" t="n"/>
      <c r="E284" s="18" t="n"/>
      <c r="F284" s="19" t="n"/>
      <c r="G284" s="20" t="n"/>
      <c r="H284" s="21">
        <f>IF(AND(ISNUMBER(D284),ISNUMBER(E284)),E284-D284+1,"")</f>
        <v/>
      </c>
      <c r="I284" s="22">
        <f>IF(AND(ISNUMBER(F284),N(F284)&gt;0,ISNUMBER(G284)),G284/F284,"")</f>
        <v/>
      </c>
      <c r="J284" s="21">
        <f>IF(OR(A284="",B284=""),"",IF(C284=Yr_Cur,"CY",IF(C284=Yr_Prev,"PY","")))</f>
        <v/>
      </c>
      <c r="K284" s="21">
        <f>IF(J284="","",IF(J284="CY",SUMIFS(Dat_H,Dat_A,A284,Dat_B,B284,Dat_C,Yr_Prev),SUMIFS(Dat_H,Dat_A,A284,Dat_B,B284,Dat_C,Yr_Cur)))</f>
        <v/>
      </c>
      <c r="L284" s="21">
        <f>IF(J284="",0,IF(AND(ISNUMBER(H284),N(K284)&gt;0,ISNUMBER(F284),ISNUMBER(G284),OR(Sel_Market="All markets",A284=Sel_Market),COUNTIFS(Control!$B$11:$B$13,B284,Control!$C$11:$C$13,"Yes")&gt;0),1,0))</f>
        <v/>
      </c>
      <c r="M284" s="21">
        <f>IF(L284=1,IF(J284="CY",H284,K284),"")</f>
        <v/>
      </c>
      <c r="N284" s="21">
        <f>IF(L284=1,IF(J284="PY",H284,K284),"")</f>
        <v/>
      </c>
      <c r="O284" s="23">
        <f>IF(L284=1,IF(J284="PY",F284*M284/N284,F284),0)</f>
        <v/>
      </c>
      <c r="P284" s="23">
        <f>IF(L284=1,IF(J284="PY",G284*M284/N284,G284),0)</f>
        <v/>
      </c>
      <c r="Q284" s="23">
        <f>IF(AND(L284=1,J284="PY"),F284*(N284-M284)/N284,0)</f>
        <v/>
      </c>
      <c r="R284" s="23">
        <f>IF(AND(L284=1,J284="PY"),G284*(N284-M284)/N284,0)</f>
        <v/>
      </c>
      <c r="S284" s="21">
        <f>IF(COUNTA(A284:G284)=0,"",IF(OR(A284="",B284="",NOT(ISNUMBER(C284))),"Fill market, product and year",IF(COUNTIF(Control!$B$11:$B$13,B284)=0,"Unknown product",IF(COUNTIFS(Dat_A,A284,Dat_B,B284,Dat_C,C284)&gt;1,"Duplicate market/product/year",IF(OR(NOT(ISNUMBER(D284)),NOT(ISNUMBER(E284))),"Add launch date and Data through date",IF(E284&lt;D284,"Data through is before launch",IF(OR(NOT(ISNUMBER(F284)),NOT(ISNUMBER(G284))),"Add units and revenue","OK")))))))</f>
        <v/>
      </c>
    </row>
    <row r="285">
      <c r="A285" s="17" t="n"/>
      <c r="B285" s="17" t="n"/>
      <c r="C285" s="17" t="n"/>
      <c r="D285" s="18" t="n"/>
      <c r="E285" s="18" t="n"/>
      <c r="F285" s="19" t="n"/>
      <c r="G285" s="20" t="n"/>
      <c r="H285" s="21">
        <f>IF(AND(ISNUMBER(D285),ISNUMBER(E285)),E285-D285+1,"")</f>
        <v/>
      </c>
      <c r="I285" s="22">
        <f>IF(AND(ISNUMBER(F285),N(F285)&gt;0,ISNUMBER(G285)),G285/F285,"")</f>
        <v/>
      </c>
      <c r="J285" s="21">
        <f>IF(OR(A285="",B285=""),"",IF(C285=Yr_Cur,"CY",IF(C285=Yr_Prev,"PY","")))</f>
        <v/>
      </c>
      <c r="K285" s="21">
        <f>IF(J285="","",IF(J285="CY",SUMIFS(Dat_H,Dat_A,A285,Dat_B,B285,Dat_C,Yr_Prev),SUMIFS(Dat_H,Dat_A,A285,Dat_B,B285,Dat_C,Yr_Cur)))</f>
        <v/>
      </c>
      <c r="L285" s="21">
        <f>IF(J285="",0,IF(AND(ISNUMBER(H285),N(K285)&gt;0,ISNUMBER(F285),ISNUMBER(G285),OR(Sel_Market="All markets",A285=Sel_Market),COUNTIFS(Control!$B$11:$B$13,B285,Control!$C$11:$C$13,"Yes")&gt;0),1,0))</f>
        <v/>
      </c>
      <c r="M285" s="21">
        <f>IF(L285=1,IF(J285="CY",H285,K285),"")</f>
        <v/>
      </c>
      <c r="N285" s="21">
        <f>IF(L285=1,IF(J285="PY",H285,K285),"")</f>
        <v/>
      </c>
      <c r="O285" s="23">
        <f>IF(L285=1,IF(J285="PY",F285*M285/N285,F285),0)</f>
        <v/>
      </c>
      <c r="P285" s="23">
        <f>IF(L285=1,IF(J285="PY",G285*M285/N285,G285),0)</f>
        <v/>
      </c>
      <c r="Q285" s="23">
        <f>IF(AND(L285=1,J285="PY"),F285*(N285-M285)/N285,0)</f>
        <v/>
      </c>
      <c r="R285" s="23">
        <f>IF(AND(L285=1,J285="PY"),G285*(N285-M285)/N285,0)</f>
        <v/>
      </c>
      <c r="S285" s="21">
        <f>IF(COUNTA(A285:G285)=0,"",IF(OR(A285="",B285="",NOT(ISNUMBER(C285))),"Fill market, product and year",IF(COUNTIF(Control!$B$11:$B$13,B285)=0,"Unknown product",IF(COUNTIFS(Dat_A,A285,Dat_B,B285,Dat_C,C285)&gt;1,"Duplicate market/product/year",IF(OR(NOT(ISNUMBER(D285)),NOT(ISNUMBER(E285))),"Add launch date and Data through date",IF(E285&lt;D285,"Data through is before launch",IF(OR(NOT(ISNUMBER(F285)),NOT(ISNUMBER(G285))),"Add units and revenue","OK")))))))</f>
        <v/>
      </c>
    </row>
    <row r="286">
      <c r="A286" s="17" t="n"/>
      <c r="B286" s="17" t="n"/>
      <c r="C286" s="17" t="n"/>
      <c r="D286" s="18" t="n"/>
      <c r="E286" s="18" t="n"/>
      <c r="F286" s="19" t="n"/>
      <c r="G286" s="20" t="n"/>
      <c r="H286" s="21">
        <f>IF(AND(ISNUMBER(D286),ISNUMBER(E286)),E286-D286+1,"")</f>
        <v/>
      </c>
      <c r="I286" s="22">
        <f>IF(AND(ISNUMBER(F286),N(F286)&gt;0,ISNUMBER(G286)),G286/F286,"")</f>
        <v/>
      </c>
      <c r="J286" s="21">
        <f>IF(OR(A286="",B286=""),"",IF(C286=Yr_Cur,"CY",IF(C286=Yr_Prev,"PY","")))</f>
        <v/>
      </c>
      <c r="K286" s="21">
        <f>IF(J286="","",IF(J286="CY",SUMIFS(Dat_H,Dat_A,A286,Dat_B,B286,Dat_C,Yr_Prev),SUMIFS(Dat_H,Dat_A,A286,Dat_B,B286,Dat_C,Yr_Cur)))</f>
        <v/>
      </c>
      <c r="L286" s="21">
        <f>IF(J286="",0,IF(AND(ISNUMBER(H286),N(K286)&gt;0,ISNUMBER(F286),ISNUMBER(G286),OR(Sel_Market="All markets",A286=Sel_Market),COUNTIFS(Control!$B$11:$B$13,B286,Control!$C$11:$C$13,"Yes")&gt;0),1,0))</f>
        <v/>
      </c>
      <c r="M286" s="21">
        <f>IF(L286=1,IF(J286="CY",H286,K286),"")</f>
        <v/>
      </c>
      <c r="N286" s="21">
        <f>IF(L286=1,IF(J286="PY",H286,K286),"")</f>
        <v/>
      </c>
      <c r="O286" s="23">
        <f>IF(L286=1,IF(J286="PY",F286*M286/N286,F286),0)</f>
        <v/>
      </c>
      <c r="P286" s="23">
        <f>IF(L286=1,IF(J286="PY",G286*M286/N286,G286),0)</f>
        <v/>
      </c>
      <c r="Q286" s="23">
        <f>IF(AND(L286=1,J286="PY"),F286*(N286-M286)/N286,0)</f>
        <v/>
      </c>
      <c r="R286" s="23">
        <f>IF(AND(L286=1,J286="PY"),G286*(N286-M286)/N286,0)</f>
        <v/>
      </c>
      <c r="S286" s="21">
        <f>IF(COUNTA(A286:G286)=0,"",IF(OR(A286="",B286="",NOT(ISNUMBER(C286))),"Fill market, product and year",IF(COUNTIF(Control!$B$11:$B$13,B286)=0,"Unknown product",IF(COUNTIFS(Dat_A,A286,Dat_B,B286,Dat_C,C286)&gt;1,"Duplicate market/product/year",IF(OR(NOT(ISNUMBER(D286)),NOT(ISNUMBER(E286))),"Add launch date and Data through date",IF(E286&lt;D286,"Data through is before launch",IF(OR(NOT(ISNUMBER(F286)),NOT(ISNUMBER(G286))),"Add units and revenue","OK")))))))</f>
        <v/>
      </c>
    </row>
    <row r="287">
      <c r="A287" s="17" t="n"/>
      <c r="B287" s="17" t="n"/>
      <c r="C287" s="17" t="n"/>
      <c r="D287" s="18" t="n"/>
      <c r="E287" s="18" t="n"/>
      <c r="F287" s="19" t="n"/>
      <c r="G287" s="20" t="n"/>
      <c r="H287" s="21">
        <f>IF(AND(ISNUMBER(D287),ISNUMBER(E287)),E287-D287+1,"")</f>
        <v/>
      </c>
      <c r="I287" s="22">
        <f>IF(AND(ISNUMBER(F287),N(F287)&gt;0,ISNUMBER(G287)),G287/F287,"")</f>
        <v/>
      </c>
      <c r="J287" s="21">
        <f>IF(OR(A287="",B287=""),"",IF(C287=Yr_Cur,"CY",IF(C287=Yr_Prev,"PY","")))</f>
        <v/>
      </c>
      <c r="K287" s="21">
        <f>IF(J287="","",IF(J287="CY",SUMIFS(Dat_H,Dat_A,A287,Dat_B,B287,Dat_C,Yr_Prev),SUMIFS(Dat_H,Dat_A,A287,Dat_B,B287,Dat_C,Yr_Cur)))</f>
        <v/>
      </c>
      <c r="L287" s="21">
        <f>IF(J287="",0,IF(AND(ISNUMBER(H287),N(K287)&gt;0,ISNUMBER(F287),ISNUMBER(G287),OR(Sel_Market="All markets",A287=Sel_Market),COUNTIFS(Control!$B$11:$B$13,B287,Control!$C$11:$C$13,"Yes")&gt;0),1,0))</f>
        <v/>
      </c>
      <c r="M287" s="21">
        <f>IF(L287=1,IF(J287="CY",H287,K287),"")</f>
        <v/>
      </c>
      <c r="N287" s="21">
        <f>IF(L287=1,IF(J287="PY",H287,K287),"")</f>
        <v/>
      </c>
      <c r="O287" s="23">
        <f>IF(L287=1,IF(J287="PY",F287*M287/N287,F287),0)</f>
        <v/>
      </c>
      <c r="P287" s="23">
        <f>IF(L287=1,IF(J287="PY",G287*M287/N287,G287),0)</f>
        <v/>
      </c>
      <c r="Q287" s="23">
        <f>IF(AND(L287=1,J287="PY"),F287*(N287-M287)/N287,0)</f>
        <v/>
      </c>
      <c r="R287" s="23">
        <f>IF(AND(L287=1,J287="PY"),G287*(N287-M287)/N287,0)</f>
        <v/>
      </c>
      <c r="S287" s="21">
        <f>IF(COUNTA(A287:G287)=0,"",IF(OR(A287="",B287="",NOT(ISNUMBER(C287))),"Fill market, product and year",IF(COUNTIF(Control!$B$11:$B$13,B287)=0,"Unknown product",IF(COUNTIFS(Dat_A,A287,Dat_B,B287,Dat_C,C287)&gt;1,"Duplicate market/product/year",IF(OR(NOT(ISNUMBER(D287)),NOT(ISNUMBER(E287))),"Add launch date and Data through date",IF(E287&lt;D287,"Data through is before launch",IF(OR(NOT(ISNUMBER(F287)),NOT(ISNUMBER(G287))),"Add units and revenue","OK")))))))</f>
        <v/>
      </c>
    </row>
    <row r="288">
      <c r="A288" s="17" t="n"/>
      <c r="B288" s="17" t="n"/>
      <c r="C288" s="17" t="n"/>
      <c r="D288" s="18" t="n"/>
      <c r="E288" s="18" t="n"/>
      <c r="F288" s="19" t="n"/>
      <c r="G288" s="20" t="n"/>
      <c r="H288" s="21">
        <f>IF(AND(ISNUMBER(D288),ISNUMBER(E288)),E288-D288+1,"")</f>
        <v/>
      </c>
      <c r="I288" s="22">
        <f>IF(AND(ISNUMBER(F288),N(F288)&gt;0,ISNUMBER(G288)),G288/F288,"")</f>
        <v/>
      </c>
      <c r="J288" s="21">
        <f>IF(OR(A288="",B288=""),"",IF(C288=Yr_Cur,"CY",IF(C288=Yr_Prev,"PY","")))</f>
        <v/>
      </c>
      <c r="K288" s="21">
        <f>IF(J288="","",IF(J288="CY",SUMIFS(Dat_H,Dat_A,A288,Dat_B,B288,Dat_C,Yr_Prev),SUMIFS(Dat_H,Dat_A,A288,Dat_B,B288,Dat_C,Yr_Cur)))</f>
        <v/>
      </c>
      <c r="L288" s="21">
        <f>IF(J288="",0,IF(AND(ISNUMBER(H288),N(K288)&gt;0,ISNUMBER(F288),ISNUMBER(G288),OR(Sel_Market="All markets",A288=Sel_Market),COUNTIFS(Control!$B$11:$B$13,B288,Control!$C$11:$C$13,"Yes")&gt;0),1,0))</f>
        <v/>
      </c>
      <c r="M288" s="21">
        <f>IF(L288=1,IF(J288="CY",H288,K288),"")</f>
        <v/>
      </c>
      <c r="N288" s="21">
        <f>IF(L288=1,IF(J288="PY",H288,K288),"")</f>
        <v/>
      </c>
      <c r="O288" s="23">
        <f>IF(L288=1,IF(J288="PY",F288*M288/N288,F288),0)</f>
        <v/>
      </c>
      <c r="P288" s="23">
        <f>IF(L288=1,IF(J288="PY",G288*M288/N288,G288),0)</f>
        <v/>
      </c>
      <c r="Q288" s="23">
        <f>IF(AND(L288=1,J288="PY"),F288*(N288-M288)/N288,0)</f>
        <v/>
      </c>
      <c r="R288" s="23">
        <f>IF(AND(L288=1,J288="PY"),G288*(N288-M288)/N288,0)</f>
        <v/>
      </c>
      <c r="S288" s="21">
        <f>IF(COUNTA(A288:G288)=0,"",IF(OR(A288="",B288="",NOT(ISNUMBER(C288))),"Fill market, product and year",IF(COUNTIF(Control!$B$11:$B$13,B288)=0,"Unknown product",IF(COUNTIFS(Dat_A,A288,Dat_B,B288,Dat_C,C288)&gt;1,"Duplicate market/product/year",IF(OR(NOT(ISNUMBER(D288)),NOT(ISNUMBER(E288))),"Add launch date and Data through date",IF(E288&lt;D288,"Data through is before launch",IF(OR(NOT(ISNUMBER(F288)),NOT(ISNUMBER(G288))),"Add units and revenue","OK")))))))</f>
        <v/>
      </c>
    </row>
    <row r="289">
      <c r="A289" s="17" t="n"/>
      <c r="B289" s="17" t="n"/>
      <c r="C289" s="17" t="n"/>
      <c r="D289" s="18" t="n"/>
      <c r="E289" s="18" t="n"/>
      <c r="F289" s="19" t="n"/>
      <c r="G289" s="20" t="n"/>
      <c r="H289" s="21">
        <f>IF(AND(ISNUMBER(D289),ISNUMBER(E289)),E289-D289+1,"")</f>
        <v/>
      </c>
      <c r="I289" s="22">
        <f>IF(AND(ISNUMBER(F289),N(F289)&gt;0,ISNUMBER(G289)),G289/F289,"")</f>
        <v/>
      </c>
      <c r="J289" s="21">
        <f>IF(OR(A289="",B289=""),"",IF(C289=Yr_Cur,"CY",IF(C289=Yr_Prev,"PY","")))</f>
        <v/>
      </c>
      <c r="K289" s="21">
        <f>IF(J289="","",IF(J289="CY",SUMIFS(Dat_H,Dat_A,A289,Dat_B,B289,Dat_C,Yr_Prev),SUMIFS(Dat_H,Dat_A,A289,Dat_B,B289,Dat_C,Yr_Cur)))</f>
        <v/>
      </c>
      <c r="L289" s="21">
        <f>IF(J289="",0,IF(AND(ISNUMBER(H289),N(K289)&gt;0,ISNUMBER(F289),ISNUMBER(G289),OR(Sel_Market="All markets",A289=Sel_Market),COUNTIFS(Control!$B$11:$B$13,B289,Control!$C$11:$C$13,"Yes")&gt;0),1,0))</f>
        <v/>
      </c>
      <c r="M289" s="21">
        <f>IF(L289=1,IF(J289="CY",H289,K289),"")</f>
        <v/>
      </c>
      <c r="N289" s="21">
        <f>IF(L289=1,IF(J289="PY",H289,K289),"")</f>
        <v/>
      </c>
      <c r="O289" s="23">
        <f>IF(L289=1,IF(J289="PY",F289*M289/N289,F289),0)</f>
        <v/>
      </c>
      <c r="P289" s="23">
        <f>IF(L289=1,IF(J289="PY",G289*M289/N289,G289),0)</f>
        <v/>
      </c>
      <c r="Q289" s="23">
        <f>IF(AND(L289=1,J289="PY"),F289*(N289-M289)/N289,0)</f>
        <v/>
      </c>
      <c r="R289" s="23">
        <f>IF(AND(L289=1,J289="PY"),G289*(N289-M289)/N289,0)</f>
        <v/>
      </c>
      <c r="S289" s="21">
        <f>IF(COUNTA(A289:G289)=0,"",IF(OR(A289="",B289="",NOT(ISNUMBER(C289))),"Fill market, product and year",IF(COUNTIF(Control!$B$11:$B$13,B289)=0,"Unknown product",IF(COUNTIFS(Dat_A,A289,Dat_B,B289,Dat_C,C289)&gt;1,"Duplicate market/product/year",IF(OR(NOT(ISNUMBER(D289)),NOT(ISNUMBER(E289))),"Add launch date and Data through date",IF(E289&lt;D289,"Data through is before launch",IF(OR(NOT(ISNUMBER(F289)),NOT(ISNUMBER(G289))),"Add units and revenue","OK")))))))</f>
        <v/>
      </c>
    </row>
    <row r="290">
      <c r="A290" s="17" t="n"/>
      <c r="B290" s="17" t="n"/>
      <c r="C290" s="17" t="n"/>
      <c r="D290" s="18" t="n"/>
      <c r="E290" s="18" t="n"/>
      <c r="F290" s="19" t="n"/>
      <c r="G290" s="20" t="n"/>
      <c r="H290" s="21">
        <f>IF(AND(ISNUMBER(D290),ISNUMBER(E290)),E290-D290+1,"")</f>
        <v/>
      </c>
      <c r="I290" s="22">
        <f>IF(AND(ISNUMBER(F290),N(F290)&gt;0,ISNUMBER(G290)),G290/F290,"")</f>
        <v/>
      </c>
      <c r="J290" s="21">
        <f>IF(OR(A290="",B290=""),"",IF(C290=Yr_Cur,"CY",IF(C290=Yr_Prev,"PY","")))</f>
        <v/>
      </c>
      <c r="K290" s="21">
        <f>IF(J290="","",IF(J290="CY",SUMIFS(Dat_H,Dat_A,A290,Dat_B,B290,Dat_C,Yr_Prev),SUMIFS(Dat_H,Dat_A,A290,Dat_B,B290,Dat_C,Yr_Cur)))</f>
        <v/>
      </c>
      <c r="L290" s="21">
        <f>IF(J290="",0,IF(AND(ISNUMBER(H290),N(K290)&gt;0,ISNUMBER(F290),ISNUMBER(G290),OR(Sel_Market="All markets",A290=Sel_Market),COUNTIFS(Control!$B$11:$B$13,B290,Control!$C$11:$C$13,"Yes")&gt;0),1,0))</f>
        <v/>
      </c>
      <c r="M290" s="21">
        <f>IF(L290=1,IF(J290="CY",H290,K290),"")</f>
        <v/>
      </c>
      <c r="N290" s="21">
        <f>IF(L290=1,IF(J290="PY",H290,K290),"")</f>
        <v/>
      </c>
      <c r="O290" s="23">
        <f>IF(L290=1,IF(J290="PY",F290*M290/N290,F290),0)</f>
        <v/>
      </c>
      <c r="P290" s="23">
        <f>IF(L290=1,IF(J290="PY",G290*M290/N290,G290),0)</f>
        <v/>
      </c>
      <c r="Q290" s="23">
        <f>IF(AND(L290=1,J290="PY"),F290*(N290-M290)/N290,0)</f>
        <v/>
      </c>
      <c r="R290" s="23">
        <f>IF(AND(L290=1,J290="PY"),G290*(N290-M290)/N290,0)</f>
        <v/>
      </c>
      <c r="S290" s="21">
        <f>IF(COUNTA(A290:G290)=0,"",IF(OR(A290="",B290="",NOT(ISNUMBER(C290))),"Fill market, product and year",IF(COUNTIF(Control!$B$11:$B$13,B290)=0,"Unknown product",IF(COUNTIFS(Dat_A,A290,Dat_B,B290,Dat_C,C290)&gt;1,"Duplicate market/product/year",IF(OR(NOT(ISNUMBER(D290)),NOT(ISNUMBER(E290))),"Add launch date and Data through date",IF(E290&lt;D290,"Data through is before launch",IF(OR(NOT(ISNUMBER(F290)),NOT(ISNUMBER(G290))),"Add units and revenue","OK")))))))</f>
        <v/>
      </c>
    </row>
    <row r="291">
      <c r="A291" s="17" t="n"/>
      <c r="B291" s="17" t="n"/>
      <c r="C291" s="17" t="n"/>
      <c r="D291" s="18" t="n"/>
      <c r="E291" s="18" t="n"/>
      <c r="F291" s="19" t="n"/>
      <c r="G291" s="20" t="n"/>
      <c r="H291" s="21">
        <f>IF(AND(ISNUMBER(D291),ISNUMBER(E291)),E291-D291+1,"")</f>
        <v/>
      </c>
      <c r="I291" s="22">
        <f>IF(AND(ISNUMBER(F291),N(F291)&gt;0,ISNUMBER(G291)),G291/F291,"")</f>
        <v/>
      </c>
      <c r="J291" s="21">
        <f>IF(OR(A291="",B291=""),"",IF(C291=Yr_Cur,"CY",IF(C291=Yr_Prev,"PY","")))</f>
        <v/>
      </c>
      <c r="K291" s="21">
        <f>IF(J291="","",IF(J291="CY",SUMIFS(Dat_H,Dat_A,A291,Dat_B,B291,Dat_C,Yr_Prev),SUMIFS(Dat_H,Dat_A,A291,Dat_B,B291,Dat_C,Yr_Cur)))</f>
        <v/>
      </c>
      <c r="L291" s="21">
        <f>IF(J291="",0,IF(AND(ISNUMBER(H291),N(K291)&gt;0,ISNUMBER(F291),ISNUMBER(G291),OR(Sel_Market="All markets",A291=Sel_Market),COUNTIFS(Control!$B$11:$B$13,B291,Control!$C$11:$C$13,"Yes")&gt;0),1,0))</f>
        <v/>
      </c>
      <c r="M291" s="21">
        <f>IF(L291=1,IF(J291="CY",H291,K291),"")</f>
        <v/>
      </c>
      <c r="N291" s="21">
        <f>IF(L291=1,IF(J291="PY",H291,K291),"")</f>
        <v/>
      </c>
      <c r="O291" s="23">
        <f>IF(L291=1,IF(J291="PY",F291*M291/N291,F291),0)</f>
        <v/>
      </c>
      <c r="P291" s="23">
        <f>IF(L291=1,IF(J291="PY",G291*M291/N291,G291),0)</f>
        <v/>
      </c>
      <c r="Q291" s="23">
        <f>IF(AND(L291=1,J291="PY"),F291*(N291-M291)/N291,0)</f>
        <v/>
      </c>
      <c r="R291" s="23">
        <f>IF(AND(L291=1,J291="PY"),G291*(N291-M291)/N291,0)</f>
        <v/>
      </c>
      <c r="S291" s="21">
        <f>IF(COUNTA(A291:G291)=0,"",IF(OR(A291="",B291="",NOT(ISNUMBER(C291))),"Fill market, product and year",IF(COUNTIF(Control!$B$11:$B$13,B291)=0,"Unknown product",IF(COUNTIFS(Dat_A,A291,Dat_B,B291,Dat_C,C291)&gt;1,"Duplicate market/product/year",IF(OR(NOT(ISNUMBER(D291)),NOT(ISNUMBER(E291))),"Add launch date and Data through date",IF(E291&lt;D291,"Data through is before launch",IF(OR(NOT(ISNUMBER(F291)),NOT(ISNUMBER(G291))),"Add units and revenue","OK")))))))</f>
        <v/>
      </c>
    </row>
    <row r="292">
      <c r="A292" s="17" t="n"/>
      <c r="B292" s="17" t="n"/>
      <c r="C292" s="17" t="n"/>
      <c r="D292" s="18" t="n"/>
      <c r="E292" s="18" t="n"/>
      <c r="F292" s="19" t="n"/>
      <c r="G292" s="20" t="n"/>
      <c r="H292" s="21">
        <f>IF(AND(ISNUMBER(D292),ISNUMBER(E292)),E292-D292+1,"")</f>
        <v/>
      </c>
      <c r="I292" s="22">
        <f>IF(AND(ISNUMBER(F292),N(F292)&gt;0,ISNUMBER(G292)),G292/F292,"")</f>
        <v/>
      </c>
      <c r="J292" s="21">
        <f>IF(OR(A292="",B292=""),"",IF(C292=Yr_Cur,"CY",IF(C292=Yr_Prev,"PY","")))</f>
        <v/>
      </c>
      <c r="K292" s="21">
        <f>IF(J292="","",IF(J292="CY",SUMIFS(Dat_H,Dat_A,A292,Dat_B,B292,Dat_C,Yr_Prev),SUMIFS(Dat_H,Dat_A,A292,Dat_B,B292,Dat_C,Yr_Cur)))</f>
        <v/>
      </c>
      <c r="L292" s="21">
        <f>IF(J292="",0,IF(AND(ISNUMBER(H292),N(K292)&gt;0,ISNUMBER(F292),ISNUMBER(G292),OR(Sel_Market="All markets",A292=Sel_Market),COUNTIFS(Control!$B$11:$B$13,B292,Control!$C$11:$C$13,"Yes")&gt;0),1,0))</f>
        <v/>
      </c>
      <c r="M292" s="21">
        <f>IF(L292=1,IF(J292="CY",H292,K292),"")</f>
        <v/>
      </c>
      <c r="N292" s="21">
        <f>IF(L292=1,IF(J292="PY",H292,K292),"")</f>
        <v/>
      </c>
      <c r="O292" s="23">
        <f>IF(L292=1,IF(J292="PY",F292*M292/N292,F292),0)</f>
        <v/>
      </c>
      <c r="P292" s="23">
        <f>IF(L292=1,IF(J292="PY",G292*M292/N292,G292),0)</f>
        <v/>
      </c>
      <c r="Q292" s="23">
        <f>IF(AND(L292=1,J292="PY"),F292*(N292-M292)/N292,0)</f>
        <v/>
      </c>
      <c r="R292" s="23">
        <f>IF(AND(L292=1,J292="PY"),G292*(N292-M292)/N292,0)</f>
        <v/>
      </c>
      <c r="S292" s="21">
        <f>IF(COUNTA(A292:G292)=0,"",IF(OR(A292="",B292="",NOT(ISNUMBER(C292))),"Fill market, product and year",IF(COUNTIF(Control!$B$11:$B$13,B292)=0,"Unknown product",IF(COUNTIFS(Dat_A,A292,Dat_B,B292,Dat_C,C292)&gt;1,"Duplicate market/product/year",IF(OR(NOT(ISNUMBER(D292)),NOT(ISNUMBER(E292))),"Add launch date and Data through date",IF(E292&lt;D292,"Data through is before launch",IF(OR(NOT(ISNUMBER(F292)),NOT(ISNUMBER(G292))),"Add units and revenue","OK")))))))</f>
        <v/>
      </c>
    </row>
    <row r="293">
      <c r="A293" s="17" t="n"/>
      <c r="B293" s="17" t="n"/>
      <c r="C293" s="17" t="n"/>
      <c r="D293" s="18" t="n"/>
      <c r="E293" s="18" t="n"/>
      <c r="F293" s="19" t="n"/>
      <c r="G293" s="20" t="n"/>
      <c r="H293" s="21">
        <f>IF(AND(ISNUMBER(D293),ISNUMBER(E293)),E293-D293+1,"")</f>
        <v/>
      </c>
      <c r="I293" s="22">
        <f>IF(AND(ISNUMBER(F293),N(F293)&gt;0,ISNUMBER(G293)),G293/F293,"")</f>
        <v/>
      </c>
      <c r="J293" s="21">
        <f>IF(OR(A293="",B293=""),"",IF(C293=Yr_Cur,"CY",IF(C293=Yr_Prev,"PY","")))</f>
        <v/>
      </c>
      <c r="K293" s="21">
        <f>IF(J293="","",IF(J293="CY",SUMIFS(Dat_H,Dat_A,A293,Dat_B,B293,Dat_C,Yr_Prev),SUMIFS(Dat_H,Dat_A,A293,Dat_B,B293,Dat_C,Yr_Cur)))</f>
        <v/>
      </c>
      <c r="L293" s="21">
        <f>IF(J293="",0,IF(AND(ISNUMBER(H293),N(K293)&gt;0,ISNUMBER(F293),ISNUMBER(G293),OR(Sel_Market="All markets",A293=Sel_Market),COUNTIFS(Control!$B$11:$B$13,B293,Control!$C$11:$C$13,"Yes")&gt;0),1,0))</f>
        <v/>
      </c>
      <c r="M293" s="21">
        <f>IF(L293=1,IF(J293="CY",H293,K293),"")</f>
        <v/>
      </c>
      <c r="N293" s="21">
        <f>IF(L293=1,IF(J293="PY",H293,K293),"")</f>
        <v/>
      </c>
      <c r="O293" s="23">
        <f>IF(L293=1,IF(J293="PY",F293*M293/N293,F293),0)</f>
        <v/>
      </c>
      <c r="P293" s="23">
        <f>IF(L293=1,IF(J293="PY",G293*M293/N293,G293),0)</f>
        <v/>
      </c>
      <c r="Q293" s="23">
        <f>IF(AND(L293=1,J293="PY"),F293*(N293-M293)/N293,0)</f>
        <v/>
      </c>
      <c r="R293" s="23">
        <f>IF(AND(L293=1,J293="PY"),G293*(N293-M293)/N293,0)</f>
        <v/>
      </c>
      <c r="S293" s="21">
        <f>IF(COUNTA(A293:G293)=0,"",IF(OR(A293="",B293="",NOT(ISNUMBER(C293))),"Fill market, product and year",IF(COUNTIF(Control!$B$11:$B$13,B293)=0,"Unknown product",IF(COUNTIFS(Dat_A,A293,Dat_B,B293,Dat_C,C293)&gt;1,"Duplicate market/product/year",IF(OR(NOT(ISNUMBER(D293)),NOT(ISNUMBER(E293))),"Add launch date and Data through date",IF(E293&lt;D293,"Data through is before launch",IF(OR(NOT(ISNUMBER(F293)),NOT(ISNUMBER(G293))),"Add units and revenue","OK")))))))</f>
        <v/>
      </c>
    </row>
    <row r="294">
      <c r="A294" s="17" t="n"/>
      <c r="B294" s="17" t="n"/>
      <c r="C294" s="17" t="n"/>
      <c r="D294" s="18" t="n"/>
      <c r="E294" s="18" t="n"/>
      <c r="F294" s="19" t="n"/>
      <c r="G294" s="20" t="n"/>
      <c r="H294" s="21">
        <f>IF(AND(ISNUMBER(D294),ISNUMBER(E294)),E294-D294+1,"")</f>
        <v/>
      </c>
      <c r="I294" s="22">
        <f>IF(AND(ISNUMBER(F294),N(F294)&gt;0,ISNUMBER(G294)),G294/F294,"")</f>
        <v/>
      </c>
      <c r="J294" s="21">
        <f>IF(OR(A294="",B294=""),"",IF(C294=Yr_Cur,"CY",IF(C294=Yr_Prev,"PY","")))</f>
        <v/>
      </c>
      <c r="K294" s="21">
        <f>IF(J294="","",IF(J294="CY",SUMIFS(Dat_H,Dat_A,A294,Dat_B,B294,Dat_C,Yr_Prev),SUMIFS(Dat_H,Dat_A,A294,Dat_B,B294,Dat_C,Yr_Cur)))</f>
        <v/>
      </c>
      <c r="L294" s="21">
        <f>IF(J294="",0,IF(AND(ISNUMBER(H294),N(K294)&gt;0,ISNUMBER(F294),ISNUMBER(G294),OR(Sel_Market="All markets",A294=Sel_Market),COUNTIFS(Control!$B$11:$B$13,B294,Control!$C$11:$C$13,"Yes")&gt;0),1,0))</f>
        <v/>
      </c>
      <c r="M294" s="21">
        <f>IF(L294=1,IF(J294="CY",H294,K294),"")</f>
        <v/>
      </c>
      <c r="N294" s="21">
        <f>IF(L294=1,IF(J294="PY",H294,K294),"")</f>
        <v/>
      </c>
      <c r="O294" s="23">
        <f>IF(L294=1,IF(J294="PY",F294*M294/N294,F294),0)</f>
        <v/>
      </c>
      <c r="P294" s="23">
        <f>IF(L294=1,IF(J294="PY",G294*M294/N294,G294),0)</f>
        <v/>
      </c>
      <c r="Q294" s="23">
        <f>IF(AND(L294=1,J294="PY"),F294*(N294-M294)/N294,0)</f>
        <v/>
      </c>
      <c r="R294" s="23">
        <f>IF(AND(L294=1,J294="PY"),G294*(N294-M294)/N294,0)</f>
        <v/>
      </c>
      <c r="S294" s="21">
        <f>IF(COUNTA(A294:G294)=0,"",IF(OR(A294="",B294="",NOT(ISNUMBER(C294))),"Fill market, product and year",IF(COUNTIF(Control!$B$11:$B$13,B294)=0,"Unknown product",IF(COUNTIFS(Dat_A,A294,Dat_B,B294,Dat_C,C294)&gt;1,"Duplicate market/product/year",IF(OR(NOT(ISNUMBER(D294)),NOT(ISNUMBER(E294))),"Add launch date and Data through date",IF(E294&lt;D294,"Data through is before launch",IF(OR(NOT(ISNUMBER(F294)),NOT(ISNUMBER(G294))),"Add units and revenue","OK")))))))</f>
        <v/>
      </c>
    </row>
    <row r="295">
      <c r="A295" s="17" t="n"/>
      <c r="B295" s="17" t="n"/>
      <c r="C295" s="17" t="n"/>
      <c r="D295" s="18" t="n"/>
      <c r="E295" s="18" t="n"/>
      <c r="F295" s="19" t="n"/>
      <c r="G295" s="20" t="n"/>
      <c r="H295" s="21">
        <f>IF(AND(ISNUMBER(D295),ISNUMBER(E295)),E295-D295+1,"")</f>
        <v/>
      </c>
      <c r="I295" s="22">
        <f>IF(AND(ISNUMBER(F295),N(F295)&gt;0,ISNUMBER(G295)),G295/F295,"")</f>
        <v/>
      </c>
      <c r="J295" s="21">
        <f>IF(OR(A295="",B295=""),"",IF(C295=Yr_Cur,"CY",IF(C295=Yr_Prev,"PY","")))</f>
        <v/>
      </c>
      <c r="K295" s="21">
        <f>IF(J295="","",IF(J295="CY",SUMIFS(Dat_H,Dat_A,A295,Dat_B,B295,Dat_C,Yr_Prev),SUMIFS(Dat_H,Dat_A,A295,Dat_B,B295,Dat_C,Yr_Cur)))</f>
        <v/>
      </c>
      <c r="L295" s="21">
        <f>IF(J295="",0,IF(AND(ISNUMBER(H295),N(K295)&gt;0,ISNUMBER(F295),ISNUMBER(G295),OR(Sel_Market="All markets",A295=Sel_Market),COUNTIFS(Control!$B$11:$B$13,B295,Control!$C$11:$C$13,"Yes")&gt;0),1,0))</f>
        <v/>
      </c>
      <c r="M295" s="21">
        <f>IF(L295=1,IF(J295="CY",H295,K295),"")</f>
        <v/>
      </c>
      <c r="N295" s="21">
        <f>IF(L295=1,IF(J295="PY",H295,K295),"")</f>
        <v/>
      </c>
      <c r="O295" s="23">
        <f>IF(L295=1,IF(J295="PY",F295*M295/N295,F295),0)</f>
        <v/>
      </c>
      <c r="P295" s="23">
        <f>IF(L295=1,IF(J295="PY",G295*M295/N295,G295),0)</f>
        <v/>
      </c>
      <c r="Q295" s="23">
        <f>IF(AND(L295=1,J295="PY"),F295*(N295-M295)/N295,0)</f>
        <v/>
      </c>
      <c r="R295" s="23">
        <f>IF(AND(L295=1,J295="PY"),G295*(N295-M295)/N295,0)</f>
        <v/>
      </c>
      <c r="S295" s="21">
        <f>IF(COUNTA(A295:G295)=0,"",IF(OR(A295="",B295="",NOT(ISNUMBER(C295))),"Fill market, product and year",IF(COUNTIF(Control!$B$11:$B$13,B295)=0,"Unknown product",IF(COUNTIFS(Dat_A,A295,Dat_B,B295,Dat_C,C295)&gt;1,"Duplicate market/product/year",IF(OR(NOT(ISNUMBER(D295)),NOT(ISNUMBER(E295))),"Add launch date and Data through date",IF(E295&lt;D295,"Data through is before launch",IF(OR(NOT(ISNUMBER(F295)),NOT(ISNUMBER(G295))),"Add units and revenue","OK")))))))</f>
        <v/>
      </c>
    </row>
    <row r="296">
      <c r="A296" s="17" t="n"/>
      <c r="B296" s="17" t="n"/>
      <c r="C296" s="17" t="n"/>
      <c r="D296" s="18" t="n"/>
      <c r="E296" s="18" t="n"/>
      <c r="F296" s="19" t="n"/>
      <c r="G296" s="20" t="n"/>
      <c r="H296" s="21">
        <f>IF(AND(ISNUMBER(D296),ISNUMBER(E296)),E296-D296+1,"")</f>
        <v/>
      </c>
      <c r="I296" s="22">
        <f>IF(AND(ISNUMBER(F296),N(F296)&gt;0,ISNUMBER(G296)),G296/F296,"")</f>
        <v/>
      </c>
      <c r="J296" s="21">
        <f>IF(OR(A296="",B296=""),"",IF(C296=Yr_Cur,"CY",IF(C296=Yr_Prev,"PY","")))</f>
        <v/>
      </c>
      <c r="K296" s="21">
        <f>IF(J296="","",IF(J296="CY",SUMIFS(Dat_H,Dat_A,A296,Dat_B,B296,Dat_C,Yr_Prev),SUMIFS(Dat_H,Dat_A,A296,Dat_B,B296,Dat_C,Yr_Cur)))</f>
        <v/>
      </c>
      <c r="L296" s="21">
        <f>IF(J296="",0,IF(AND(ISNUMBER(H296),N(K296)&gt;0,ISNUMBER(F296),ISNUMBER(G296),OR(Sel_Market="All markets",A296=Sel_Market),COUNTIFS(Control!$B$11:$B$13,B296,Control!$C$11:$C$13,"Yes")&gt;0),1,0))</f>
        <v/>
      </c>
      <c r="M296" s="21">
        <f>IF(L296=1,IF(J296="CY",H296,K296),"")</f>
        <v/>
      </c>
      <c r="N296" s="21">
        <f>IF(L296=1,IF(J296="PY",H296,K296),"")</f>
        <v/>
      </c>
      <c r="O296" s="23">
        <f>IF(L296=1,IF(J296="PY",F296*M296/N296,F296),0)</f>
        <v/>
      </c>
      <c r="P296" s="23">
        <f>IF(L296=1,IF(J296="PY",G296*M296/N296,G296),0)</f>
        <v/>
      </c>
      <c r="Q296" s="23">
        <f>IF(AND(L296=1,J296="PY"),F296*(N296-M296)/N296,0)</f>
        <v/>
      </c>
      <c r="R296" s="23">
        <f>IF(AND(L296=1,J296="PY"),G296*(N296-M296)/N296,0)</f>
        <v/>
      </c>
      <c r="S296" s="21">
        <f>IF(COUNTA(A296:G296)=0,"",IF(OR(A296="",B296="",NOT(ISNUMBER(C296))),"Fill market, product and year",IF(COUNTIF(Control!$B$11:$B$13,B296)=0,"Unknown product",IF(COUNTIFS(Dat_A,A296,Dat_B,B296,Dat_C,C296)&gt;1,"Duplicate market/product/year",IF(OR(NOT(ISNUMBER(D296)),NOT(ISNUMBER(E296))),"Add launch date and Data through date",IF(E296&lt;D296,"Data through is before launch",IF(OR(NOT(ISNUMBER(F296)),NOT(ISNUMBER(G296))),"Add units and revenue","OK")))))))</f>
        <v/>
      </c>
    </row>
    <row r="297">
      <c r="A297" s="17" t="n"/>
      <c r="B297" s="17" t="n"/>
      <c r="C297" s="17" t="n"/>
      <c r="D297" s="18" t="n"/>
      <c r="E297" s="18" t="n"/>
      <c r="F297" s="19" t="n"/>
      <c r="G297" s="20" t="n"/>
      <c r="H297" s="21">
        <f>IF(AND(ISNUMBER(D297),ISNUMBER(E297)),E297-D297+1,"")</f>
        <v/>
      </c>
      <c r="I297" s="22">
        <f>IF(AND(ISNUMBER(F297),N(F297)&gt;0,ISNUMBER(G297)),G297/F297,"")</f>
        <v/>
      </c>
      <c r="J297" s="21">
        <f>IF(OR(A297="",B297=""),"",IF(C297=Yr_Cur,"CY",IF(C297=Yr_Prev,"PY","")))</f>
        <v/>
      </c>
      <c r="K297" s="21">
        <f>IF(J297="","",IF(J297="CY",SUMIFS(Dat_H,Dat_A,A297,Dat_B,B297,Dat_C,Yr_Prev),SUMIFS(Dat_H,Dat_A,A297,Dat_B,B297,Dat_C,Yr_Cur)))</f>
        <v/>
      </c>
      <c r="L297" s="21">
        <f>IF(J297="",0,IF(AND(ISNUMBER(H297),N(K297)&gt;0,ISNUMBER(F297),ISNUMBER(G297),OR(Sel_Market="All markets",A297=Sel_Market),COUNTIFS(Control!$B$11:$B$13,B297,Control!$C$11:$C$13,"Yes")&gt;0),1,0))</f>
        <v/>
      </c>
      <c r="M297" s="21">
        <f>IF(L297=1,IF(J297="CY",H297,K297),"")</f>
        <v/>
      </c>
      <c r="N297" s="21">
        <f>IF(L297=1,IF(J297="PY",H297,K297),"")</f>
        <v/>
      </c>
      <c r="O297" s="23">
        <f>IF(L297=1,IF(J297="PY",F297*M297/N297,F297),0)</f>
        <v/>
      </c>
      <c r="P297" s="23">
        <f>IF(L297=1,IF(J297="PY",G297*M297/N297,G297),0)</f>
        <v/>
      </c>
      <c r="Q297" s="23">
        <f>IF(AND(L297=1,J297="PY"),F297*(N297-M297)/N297,0)</f>
        <v/>
      </c>
      <c r="R297" s="23">
        <f>IF(AND(L297=1,J297="PY"),G297*(N297-M297)/N297,0)</f>
        <v/>
      </c>
      <c r="S297" s="21">
        <f>IF(COUNTA(A297:G297)=0,"",IF(OR(A297="",B297="",NOT(ISNUMBER(C297))),"Fill market, product and year",IF(COUNTIF(Control!$B$11:$B$13,B297)=0,"Unknown product",IF(COUNTIFS(Dat_A,A297,Dat_B,B297,Dat_C,C297)&gt;1,"Duplicate market/product/year",IF(OR(NOT(ISNUMBER(D297)),NOT(ISNUMBER(E297))),"Add launch date and Data through date",IF(E297&lt;D297,"Data through is before launch",IF(OR(NOT(ISNUMBER(F297)),NOT(ISNUMBER(G297))),"Add units and revenue","OK")))))))</f>
        <v/>
      </c>
    </row>
    <row r="298">
      <c r="A298" s="17" t="n"/>
      <c r="B298" s="17" t="n"/>
      <c r="C298" s="17" t="n"/>
      <c r="D298" s="18" t="n"/>
      <c r="E298" s="18" t="n"/>
      <c r="F298" s="19" t="n"/>
      <c r="G298" s="20" t="n"/>
      <c r="H298" s="21">
        <f>IF(AND(ISNUMBER(D298),ISNUMBER(E298)),E298-D298+1,"")</f>
        <v/>
      </c>
      <c r="I298" s="22">
        <f>IF(AND(ISNUMBER(F298),N(F298)&gt;0,ISNUMBER(G298)),G298/F298,"")</f>
        <v/>
      </c>
      <c r="J298" s="21">
        <f>IF(OR(A298="",B298=""),"",IF(C298=Yr_Cur,"CY",IF(C298=Yr_Prev,"PY","")))</f>
        <v/>
      </c>
      <c r="K298" s="21">
        <f>IF(J298="","",IF(J298="CY",SUMIFS(Dat_H,Dat_A,A298,Dat_B,B298,Dat_C,Yr_Prev),SUMIFS(Dat_H,Dat_A,A298,Dat_B,B298,Dat_C,Yr_Cur)))</f>
        <v/>
      </c>
      <c r="L298" s="21">
        <f>IF(J298="",0,IF(AND(ISNUMBER(H298),N(K298)&gt;0,ISNUMBER(F298),ISNUMBER(G298),OR(Sel_Market="All markets",A298=Sel_Market),COUNTIFS(Control!$B$11:$B$13,B298,Control!$C$11:$C$13,"Yes")&gt;0),1,0))</f>
        <v/>
      </c>
      <c r="M298" s="21">
        <f>IF(L298=1,IF(J298="CY",H298,K298),"")</f>
        <v/>
      </c>
      <c r="N298" s="21">
        <f>IF(L298=1,IF(J298="PY",H298,K298),"")</f>
        <v/>
      </c>
      <c r="O298" s="23">
        <f>IF(L298=1,IF(J298="PY",F298*M298/N298,F298),0)</f>
        <v/>
      </c>
      <c r="P298" s="23">
        <f>IF(L298=1,IF(J298="PY",G298*M298/N298,G298),0)</f>
        <v/>
      </c>
      <c r="Q298" s="23">
        <f>IF(AND(L298=1,J298="PY"),F298*(N298-M298)/N298,0)</f>
        <v/>
      </c>
      <c r="R298" s="23">
        <f>IF(AND(L298=1,J298="PY"),G298*(N298-M298)/N298,0)</f>
        <v/>
      </c>
      <c r="S298" s="21">
        <f>IF(COUNTA(A298:G298)=0,"",IF(OR(A298="",B298="",NOT(ISNUMBER(C298))),"Fill market, product and year",IF(COUNTIF(Control!$B$11:$B$13,B298)=0,"Unknown product",IF(COUNTIFS(Dat_A,A298,Dat_B,B298,Dat_C,C298)&gt;1,"Duplicate market/product/year",IF(OR(NOT(ISNUMBER(D298)),NOT(ISNUMBER(E298))),"Add launch date and Data through date",IF(E298&lt;D298,"Data through is before launch",IF(OR(NOT(ISNUMBER(F298)),NOT(ISNUMBER(G298))),"Add units and revenue","OK")))))))</f>
        <v/>
      </c>
    </row>
    <row r="299">
      <c r="A299" s="17" t="n"/>
      <c r="B299" s="17" t="n"/>
      <c r="C299" s="17" t="n"/>
      <c r="D299" s="18" t="n"/>
      <c r="E299" s="18" t="n"/>
      <c r="F299" s="19" t="n"/>
      <c r="G299" s="20" t="n"/>
      <c r="H299" s="21">
        <f>IF(AND(ISNUMBER(D299),ISNUMBER(E299)),E299-D299+1,"")</f>
        <v/>
      </c>
      <c r="I299" s="22">
        <f>IF(AND(ISNUMBER(F299),N(F299)&gt;0,ISNUMBER(G299)),G299/F299,"")</f>
        <v/>
      </c>
      <c r="J299" s="21">
        <f>IF(OR(A299="",B299=""),"",IF(C299=Yr_Cur,"CY",IF(C299=Yr_Prev,"PY","")))</f>
        <v/>
      </c>
      <c r="K299" s="21">
        <f>IF(J299="","",IF(J299="CY",SUMIFS(Dat_H,Dat_A,A299,Dat_B,B299,Dat_C,Yr_Prev),SUMIFS(Dat_H,Dat_A,A299,Dat_B,B299,Dat_C,Yr_Cur)))</f>
        <v/>
      </c>
      <c r="L299" s="21">
        <f>IF(J299="",0,IF(AND(ISNUMBER(H299),N(K299)&gt;0,ISNUMBER(F299),ISNUMBER(G299),OR(Sel_Market="All markets",A299=Sel_Market),COUNTIFS(Control!$B$11:$B$13,B299,Control!$C$11:$C$13,"Yes")&gt;0),1,0))</f>
        <v/>
      </c>
      <c r="M299" s="21">
        <f>IF(L299=1,IF(J299="CY",H299,K299),"")</f>
        <v/>
      </c>
      <c r="N299" s="21">
        <f>IF(L299=1,IF(J299="PY",H299,K299),"")</f>
        <v/>
      </c>
      <c r="O299" s="23">
        <f>IF(L299=1,IF(J299="PY",F299*M299/N299,F299),0)</f>
        <v/>
      </c>
      <c r="P299" s="23">
        <f>IF(L299=1,IF(J299="PY",G299*M299/N299,G299),0)</f>
        <v/>
      </c>
      <c r="Q299" s="23">
        <f>IF(AND(L299=1,J299="PY"),F299*(N299-M299)/N299,0)</f>
        <v/>
      </c>
      <c r="R299" s="23">
        <f>IF(AND(L299=1,J299="PY"),G299*(N299-M299)/N299,0)</f>
        <v/>
      </c>
      <c r="S299" s="21">
        <f>IF(COUNTA(A299:G299)=0,"",IF(OR(A299="",B299="",NOT(ISNUMBER(C299))),"Fill market, product and year",IF(COUNTIF(Control!$B$11:$B$13,B299)=0,"Unknown product",IF(COUNTIFS(Dat_A,A299,Dat_B,B299,Dat_C,C299)&gt;1,"Duplicate market/product/year",IF(OR(NOT(ISNUMBER(D299)),NOT(ISNUMBER(E299))),"Add launch date and Data through date",IF(E299&lt;D299,"Data through is before launch",IF(OR(NOT(ISNUMBER(F299)),NOT(ISNUMBER(G299))),"Add units and revenue","OK")))))))</f>
        <v/>
      </c>
    </row>
    <row r="300">
      <c r="A300" s="17" t="n"/>
      <c r="B300" s="17" t="n"/>
      <c r="C300" s="17" t="n"/>
      <c r="D300" s="18" t="n"/>
      <c r="E300" s="18" t="n"/>
      <c r="F300" s="19" t="n"/>
      <c r="G300" s="20" t="n"/>
      <c r="H300" s="21">
        <f>IF(AND(ISNUMBER(D300),ISNUMBER(E300)),E300-D300+1,"")</f>
        <v/>
      </c>
      <c r="I300" s="22">
        <f>IF(AND(ISNUMBER(F300),N(F300)&gt;0,ISNUMBER(G300)),G300/F300,"")</f>
        <v/>
      </c>
      <c r="J300" s="21">
        <f>IF(OR(A300="",B300=""),"",IF(C300=Yr_Cur,"CY",IF(C300=Yr_Prev,"PY","")))</f>
        <v/>
      </c>
      <c r="K300" s="21">
        <f>IF(J300="","",IF(J300="CY",SUMIFS(Dat_H,Dat_A,A300,Dat_B,B300,Dat_C,Yr_Prev),SUMIFS(Dat_H,Dat_A,A300,Dat_B,B300,Dat_C,Yr_Cur)))</f>
        <v/>
      </c>
      <c r="L300" s="21">
        <f>IF(J300="",0,IF(AND(ISNUMBER(H300),N(K300)&gt;0,ISNUMBER(F300),ISNUMBER(G300),OR(Sel_Market="All markets",A300=Sel_Market),COUNTIFS(Control!$B$11:$B$13,B300,Control!$C$11:$C$13,"Yes")&gt;0),1,0))</f>
        <v/>
      </c>
      <c r="M300" s="21">
        <f>IF(L300=1,IF(J300="CY",H300,K300),"")</f>
        <v/>
      </c>
      <c r="N300" s="21">
        <f>IF(L300=1,IF(J300="PY",H300,K300),"")</f>
        <v/>
      </c>
      <c r="O300" s="23">
        <f>IF(L300=1,IF(J300="PY",F300*M300/N300,F300),0)</f>
        <v/>
      </c>
      <c r="P300" s="23">
        <f>IF(L300=1,IF(J300="PY",G300*M300/N300,G300),0)</f>
        <v/>
      </c>
      <c r="Q300" s="23">
        <f>IF(AND(L300=1,J300="PY"),F300*(N300-M300)/N300,0)</f>
        <v/>
      </c>
      <c r="R300" s="23">
        <f>IF(AND(L300=1,J300="PY"),G300*(N300-M300)/N300,0)</f>
        <v/>
      </c>
      <c r="S300" s="21">
        <f>IF(COUNTA(A300:G300)=0,"",IF(OR(A300="",B300="",NOT(ISNUMBER(C300))),"Fill market, product and year",IF(COUNTIF(Control!$B$11:$B$13,B300)=0,"Unknown product",IF(COUNTIFS(Dat_A,A300,Dat_B,B300,Dat_C,C300)&gt;1,"Duplicate market/product/year",IF(OR(NOT(ISNUMBER(D300)),NOT(ISNUMBER(E300))),"Add launch date and Data through date",IF(E300&lt;D300,"Data through is before launch",IF(OR(NOT(ISNUMBER(F300)),NOT(ISNUMBER(G300))),"Add units and revenue","OK")))))))</f>
        <v/>
      </c>
    </row>
    <row r="301">
      <c r="A301" s="17" t="n"/>
      <c r="B301" s="17" t="n"/>
      <c r="C301" s="17" t="n"/>
      <c r="D301" s="18" t="n"/>
      <c r="E301" s="18" t="n"/>
      <c r="F301" s="19" t="n"/>
      <c r="G301" s="20" t="n"/>
      <c r="H301" s="21">
        <f>IF(AND(ISNUMBER(D301),ISNUMBER(E301)),E301-D301+1,"")</f>
        <v/>
      </c>
      <c r="I301" s="22">
        <f>IF(AND(ISNUMBER(F301),N(F301)&gt;0,ISNUMBER(G301)),G301/F301,"")</f>
        <v/>
      </c>
      <c r="J301" s="21">
        <f>IF(OR(A301="",B301=""),"",IF(C301=Yr_Cur,"CY",IF(C301=Yr_Prev,"PY","")))</f>
        <v/>
      </c>
      <c r="K301" s="21">
        <f>IF(J301="","",IF(J301="CY",SUMIFS(Dat_H,Dat_A,A301,Dat_B,B301,Dat_C,Yr_Prev),SUMIFS(Dat_H,Dat_A,A301,Dat_B,B301,Dat_C,Yr_Cur)))</f>
        <v/>
      </c>
      <c r="L301" s="21">
        <f>IF(J301="",0,IF(AND(ISNUMBER(H301),N(K301)&gt;0,ISNUMBER(F301),ISNUMBER(G301),OR(Sel_Market="All markets",A301=Sel_Market),COUNTIFS(Control!$B$11:$B$13,B301,Control!$C$11:$C$13,"Yes")&gt;0),1,0))</f>
        <v/>
      </c>
      <c r="M301" s="21">
        <f>IF(L301=1,IF(J301="CY",H301,K301),"")</f>
        <v/>
      </c>
      <c r="N301" s="21">
        <f>IF(L301=1,IF(J301="PY",H301,K301),"")</f>
        <v/>
      </c>
      <c r="O301" s="23">
        <f>IF(L301=1,IF(J301="PY",F301*M301/N301,F301),0)</f>
        <v/>
      </c>
      <c r="P301" s="23">
        <f>IF(L301=1,IF(J301="PY",G301*M301/N301,G301),0)</f>
        <v/>
      </c>
      <c r="Q301" s="23">
        <f>IF(AND(L301=1,J301="PY"),F301*(N301-M301)/N301,0)</f>
        <v/>
      </c>
      <c r="R301" s="23">
        <f>IF(AND(L301=1,J301="PY"),G301*(N301-M301)/N301,0)</f>
        <v/>
      </c>
      <c r="S301" s="21">
        <f>IF(COUNTA(A301:G301)=0,"",IF(OR(A301="",B301="",NOT(ISNUMBER(C301))),"Fill market, product and year",IF(COUNTIF(Control!$B$11:$B$13,B301)=0,"Unknown product",IF(COUNTIFS(Dat_A,A301,Dat_B,B301,Dat_C,C301)&gt;1,"Duplicate market/product/year",IF(OR(NOT(ISNUMBER(D301)),NOT(ISNUMBER(E301))),"Add launch date and Data through date",IF(E301&lt;D301,"Data through is before launch",IF(OR(NOT(ISNUMBER(F301)),NOT(ISNUMBER(G301))),"Add units and revenue","OK")))))))</f>
        <v/>
      </c>
    </row>
    <row r="302">
      <c r="A302" s="17" t="n"/>
      <c r="B302" s="17" t="n"/>
      <c r="C302" s="17" t="n"/>
      <c r="D302" s="18" t="n"/>
      <c r="E302" s="18" t="n"/>
      <c r="F302" s="19" t="n"/>
      <c r="G302" s="20" t="n"/>
      <c r="H302" s="21">
        <f>IF(AND(ISNUMBER(D302),ISNUMBER(E302)),E302-D302+1,"")</f>
        <v/>
      </c>
      <c r="I302" s="22">
        <f>IF(AND(ISNUMBER(F302),N(F302)&gt;0,ISNUMBER(G302)),G302/F302,"")</f>
        <v/>
      </c>
      <c r="J302" s="21">
        <f>IF(OR(A302="",B302=""),"",IF(C302=Yr_Cur,"CY",IF(C302=Yr_Prev,"PY","")))</f>
        <v/>
      </c>
      <c r="K302" s="21">
        <f>IF(J302="","",IF(J302="CY",SUMIFS(Dat_H,Dat_A,A302,Dat_B,B302,Dat_C,Yr_Prev),SUMIFS(Dat_H,Dat_A,A302,Dat_B,B302,Dat_C,Yr_Cur)))</f>
        <v/>
      </c>
      <c r="L302" s="21">
        <f>IF(J302="",0,IF(AND(ISNUMBER(H302),N(K302)&gt;0,ISNUMBER(F302),ISNUMBER(G302),OR(Sel_Market="All markets",A302=Sel_Market),COUNTIFS(Control!$B$11:$B$13,B302,Control!$C$11:$C$13,"Yes")&gt;0),1,0))</f>
        <v/>
      </c>
      <c r="M302" s="21">
        <f>IF(L302=1,IF(J302="CY",H302,K302),"")</f>
        <v/>
      </c>
      <c r="N302" s="21">
        <f>IF(L302=1,IF(J302="PY",H302,K302),"")</f>
        <v/>
      </c>
      <c r="O302" s="23">
        <f>IF(L302=1,IF(J302="PY",F302*M302/N302,F302),0)</f>
        <v/>
      </c>
      <c r="P302" s="23">
        <f>IF(L302=1,IF(J302="PY",G302*M302/N302,G302),0)</f>
        <v/>
      </c>
      <c r="Q302" s="23">
        <f>IF(AND(L302=1,J302="PY"),F302*(N302-M302)/N302,0)</f>
        <v/>
      </c>
      <c r="R302" s="23">
        <f>IF(AND(L302=1,J302="PY"),G302*(N302-M302)/N302,0)</f>
        <v/>
      </c>
      <c r="S302" s="21">
        <f>IF(COUNTA(A302:G302)=0,"",IF(OR(A302="",B302="",NOT(ISNUMBER(C302))),"Fill market, product and year",IF(COUNTIF(Control!$B$11:$B$13,B302)=0,"Unknown product",IF(COUNTIFS(Dat_A,A302,Dat_B,B302,Dat_C,C302)&gt;1,"Duplicate market/product/year",IF(OR(NOT(ISNUMBER(D302)),NOT(ISNUMBER(E302))),"Add launch date and Data through date",IF(E302&lt;D302,"Data through is before launch",IF(OR(NOT(ISNUMBER(F302)),NOT(ISNUMBER(G302))),"Add units and revenue","OK")))))))</f>
        <v/>
      </c>
    </row>
    <row r="303">
      <c r="A303" s="17" t="n"/>
      <c r="B303" s="17" t="n"/>
      <c r="C303" s="17" t="n"/>
      <c r="D303" s="18" t="n"/>
      <c r="E303" s="18" t="n"/>
      <c r="F303" s="19" t="n"/>
      <c r="G303" s="20" t="n"/>
      <c r="H303" s="21">
        <f>IF(AND(ISNUMBER(D303),ISNUMBER(E303)),E303-D303+1,"")</f>
        <v/>
      </c>
      <c r="I303" s="22">
        <f>IF(AND(ISNUMBER(F303),N(F303)&gt;0,ISNUMBER(G303)),G303/F303,"")</f>
        <v/>
      </c>
      <c r="J303" s="21">
        <f>IF(OR(A303="",B303=""),"",IF(C303=Yr_Cur,"CY",IF(C303=Yr_Prev,"PY","")))</f>
        <v/>
      </c>
      <c r="K303" s="21">
        <f>IF(J303="","",IF(J303="CY",SUMIFS(Dat_H,Dat_A,A303,Dat_B,B303,Dat_C,Yr_Prev),SUMIFS(Dat_H,Dat_A,A303,Dat_B,B303,Dat_C,Yr_Cur)))</f>
        <v/>
      </c>
      <c r="L303" s="21">
        <f>IF(J303="",0,IF(AND(ISNUMBER(H303),N(K303)&gt;0,ISNUMBER(F303),ISNUMBER(G303),OR(Sel_Market="All markets",A303=Sel_Market),COUNTIFS(Control!$B$11:$B$13,B303,Control!$C$11:$C$13,"Yes")&gt;0),1,0))</f>
        <v/>
      </c>
      <c r="M303" s="21">
        <f>IF(L303=1,IF(J303="CY",H303,K303),"")</f>
        <v/>
      </c>
      <c r="N303" s="21">
        <f>IF(L303=1,IF(J303="PY",H303,K303),"")</f>
        <v/>
      </c>
      <c r="O303" s="23">
        <f>IF(L303=1,IF(J303="PY",F303*M303/N303,F303),0)</f>
        <v/>
      </c>
      <c r="P303" s="23">
        <f>IF(L303=1,IF(J303="PY",G303*M303/N303,G303),0)</f>
        <v/>
      </c>
      <c r="Q303" s="23">
        <f>IF(AND(L303=1,J303="PY"),F303*(N303-M303)/N303,0)</f>
        <v/>
      </c>
      <c r="R303" s="23">
        <f>IF(AND(L303=1,J303="PY"),G303*(N303-M303)/N303,0)</f>
        <v/>
      </c>
      <c r="S303" s="21">
        <f>IF(COUNTA(A303:G303)=0,"",IF(OR(A303="",B303="",NOT(ISNUMBER(C303))),"Fill market, product and year",IF(COUNTIF(Control!$B$11:$B$13,B303)=0,"Unknown product",IF(COUNTIFS(Dat_A,A303,Dat_B,B303,Dat_C,C303)&gt;1,"Duplicate market/product/year",IF(OR(NOT(ISNUMBER(D303)),NOT(ISNUMBER(E303))),"Add launch date and Data through date",IF(E303&lt;D303,"Data through is before launch",IF(OR(NOT(ISNUMBER(F303)),NOT(ISNUMBER(G303))),"Add units and revenue","OK")))))))</f>
        <v/>
      </c>
    </row>
    <row r="304">
      <c r="A304" s="17" t="n"/>
      <c r="B304" s="17" t="n"/>
      <c r="C304" s="17" t="n"/>
      <c r="D304" s="18" t="n"/>
      <c r="E304" s="18" t="n"/>
      <c r="F304" s="19" t="n"/>
      <c r="G304" s="20" t="n"/>
      <c r="H304" s="21">
        <f>IF(AND(ISNUMBER(D304),ISNUMBER(E304)),E304-D304+1,"")</f>
        <v/>
      </c>
      <c r="I304" s="22">
        <f>IF(AND(ISNUMBER(F304),N(F304)&gt;0,ISNUMBER(G304)),G304/F304,"")</f>
        <v/>
      </c>
      <c r="J304" s="21">
        <f>IF(OR(A304="",B304=""),"",IF(C304=Yr_Cur,"CY",IF(C304=Yr_Prev,"PY","")))</f>
        <v/>
      </c>
      <c r="K304" s="21">
        <f>IF(J304="","",IF(J304="CY",SUMIFS(Dat_H,Dat_A,A304,Dat_B,B304,Dat_C,Yr_Prev),SUMIFS(Dat_H,Dat_A,A304,Dat_B,B304,Dat_C,Yr_Cur)))</f>
        <v/>
      </c>
      <c r="L304" s="21">
        <f>IF(J304="",0,IF(AND(ISNUMBER(H304),N(K304)&gt;0,ISNUMBER(F304),ISNUMBER(G304),OR(Sel_Market="All markets",A304=Sel_Market),COUNTIFS(Control!$B$11:$B$13,B304,Control!$C$11:$C$13,"Yes")&gt;0),1,0))</f>
        <v/>
      </c>
      <c r="M304" s="21">
        <f>IF(L304=1,IF(J304="CY",H304,K304),"")</f>
        <v/>
      </c>
      <c r="N304" s="21">
        <f>IF(L304=1,IF(J304="PY",H304,K304),"")</f>
        <v/>
      </c>
      <c r="O304" s="23">
        <f>IF(L304=1,IF(J304="PY",F304*M304/N304,F304),0)</f>
        <v/>
      </c>
      <c r="P304" s="23">
        <f>IF(L304=1,IF(J304="PY",G304*M304/N304,G304),0)</f>
        <v/>
      </c>
      <c r="Q304" s="23">
        <f>IF(AND(L304=1,J304="PY"),F304*(N304-M304)/N304,0)</f>
        <v/>
      </c>
      <c r="R304" s="23">
        <f>IF(AND(L304=1,J304="PY"),G304*(N304-M304)/N304,0)</f>
        <v/>
      </c>
      <c r="S304" s="21">
        <f>IF(COUNTA(A304:G304)=0,"",IF(OR(A304="",B304="",NOT(ISNUMBER(C304))),"Fill market, product and year",IF(COUNTIF(Control!$B$11:$B$13,B304)=0,"Unknown product",IF(COUNTIFS(Dat_A,A304,Dat_B,B304,Dat_C,C304)&gt;1,"Duplicate market/product/year",IF(OR(NOT(ISNUMBER(D304)),NOT(ISNUMBER(E304))),"Add launch date and Data through date",IF(E304&lt;D304,"Data through is before launch",IF(OR(NOT(ISNUMBER(F304)),NOT(ISNUMBER(G304))),"Add units and revenue","OK")))))))</f>
        <v/>
      </c>
    </row>
    <row r="305">
      <c r="A305" s="17" t="n"/>
      <c r="B305" s="17" t="n"/>
      <c r="C305" s="17" t="n"/>
      <c r="D305" s="18" t="n"/>
      <c r="E305" s="18" t="n"/>
      <c r="F305" s="19" t="n"/>
      <c r="G305" s="20" t="n"/>
      <c r="H305" s="21">
        <f>IF(AND(ISNUMBER(D305),ISNUMBER(E305)),E305-D305+1,"")</f>
        <v/>
      </c>
      <c r="I305" s="22">
        <f>IF(AND(ISNUMBER(F305),N(F305)&gt;0,ISNUMBER(G305)),G305/F305,"")</f>
        <v/>
      </c>
      <c r="J305" s="21">
        <f>IF(OR(A305="",B305=""),"",IF(C305=Yr_Cur,"CY",IF(C305=Yr_Prev,"PY","")))</f>
        <v/>
      </c>
      <c r="K305" s="21">
        <f>IF(J305="","",IF(J305="CY",SUMIFS(Dat_H,Dat_A,A305,Dat_B,B305,Dat_C,Yr_Prev),SUMIFS(Dat_H,Dat_A,A305,Dat_B,B305,Dat_C,Yr_Cur)))</f>
        <v/>
      </c>
      <c r="L305" s="21">
        <f>IF(J305="",0,IF(AND(ISNUMBER(H305),N(K305)&gt;0,ISNUMBER(F305),ISNUMBER(G305),OR(Sel_Market="All markets",A305=Sel_Market),COUNTIFS(Control!$B$11:$B$13,B305,Control!$C$11:$C$13,"Yes")&gt;0),1,0))</f>
        <v/>
      </c>
      <c r="M305" s="21">
        <f>IF(L305=1,IF(J305="CY",H305,K305),"")</f>
        <v/>
      </c>
      <c r="N305" s="21">
        <f>IF(L305=1,IF(J305="PY",H305,K305),"")</f>
        <v/>
      </c>
      <c r="O305" s="23">
        <f>IF(L305=1,IF(J305="PY",F305*M305/N305,F305),0)</f>
        <v/>
      </c>
      <c r="P305" s="23">
        <f>IF(L305=1,IF(J305="PY",G305*M305/N305,G305),0)</f>
        <v/>
      </c>
      <c r="Q305" s="23">
        <f>IF(AND(L305=1,J305="PY"),F305*(N305-M305)/N305,0)</f>
        <v/>
      </c>
      <c r="R305" s="23">
        <f>IF(AND(L305=1,J305="PY"),G305*(N305-M305)/N305,0)</f>
        <v/>
      </c>
      <c r="S305" s="21">
        <f>IF(COUNTA(A305:G305)=0,"",IF(OR(A305="",B305="",NOT(ISNUMBER(C305))),"Fill market, product and year",IF(COUNTIF(Control!$B$11:$B$13,B305)=0,"Unknown product",IF(COUNTIFS(Dat_A,A305,Dat_B,B305,Dat_C,C305)&gt;1,"Duplicate market/product/year",IF(OR(NOT(ISNUMBER(D305)),NOT(ISNUMBER(E305))),"Add launch date and Data through date",IF(E305&lt;D305,"Data through is before launch",IF(OR(NOT(ISNUMBER(F305)),NOT(ISNUMBER(G305))),"Add units and revenue","OK")))))))</f>
        <v/>
      </c>
    </row>
    <row r="306">
      <c r="A306" s="17" t="n"/>
      <c r="B306" s="17" t="n"/>
      <c r="C306" s="17" t="n"/>
      <c r="D306" s="18" t="n"/>
      <c r="E306" s="18" t="n"/>
      <c r="F306" s="19" t="n"/>
      <c r="G306" s="20" t="n"/>
      <c r="H306" s="21">
        <f>IF(AND(ISNUMBER(D306),ISNUMBER(E306)),E306-D306+1,"")</f>
        <v/>
      </c>
      <c r="I306" s="22">
        <f>IF(AND(ISNUMBER(F306),N(F306)&gt;0,ISNUMBER(G306)),G306/F306,"")</f>
        <v/>
      </c>
      <c r="J306" s="21">
        <f>IF(OR(A306="",B306=""),"",IF(C306=Yr_Cur,"CY",IF(C306=Yr_Prev,"PY","")))</f>
        <v/>
      </c>
      <c r="K306" s="21">
        <f>IF(J306="","",IF(J306="CY",SUMIFS(Dat_H,Dat_A,A306,Dat_B,B306,Dat_C,Yr_Prev),SUMIFS(Dat_H,Dat_A,A306,Dat_B,B306,Dat_C,Yr_Cur)))</f>
        <v/>
      </c>
      <c r="L306" s="21">
        <f>IF(J306="",0,IF(AND(ISNUMBER(H306),N(K306)&gt;0,ISNUMBER(F306),ISNUMBER(G306),OR(Sel_Market="All markets",A306=Sel_Market),COUNTIFS(Control!$B$11:$B$13,B306,Control!$C$11:$C$13,"Yes")&gt;0),1,0))</f>
        <v/>
      </c>
      <c r="M306" s="21">
        <f>IF(L306=1,IF(J306="CY",H306,K306),"")</f>
        <v/>
      </c>
      <c r="N306" s="21">
        <f>IF(L306=1,IF(J306="PY",H306,K306),"")</f>
        <v/>
      </c>
      <c r="O306" s="23">
        <f>IF(L306=1,IF(J306="PY",F306*M306/N306,F306),0)</f>
        <v/>
      </c>
      <c r="P306" s="23">
        <f>IF(L306=1,IF(J306="PY",G306*M306/N306,G306),0)</f>
        <v/>
      </c>
      <c r="Q306" s="23">
        <f>IF(AND(L306=1,J306="PY"),F306*(N306-M306)/N306,0)</f>
        <v/>
      </c>
      <c r="R306" s="23">
        <f>IF(AND(L306=1,J306="PY"),G306*(N306-M306)/N306,0)</f>
        <v/>
      </c>
      <c r="S306" s="21">
        <f>IF(COUNTA(A306:G306)=0,"",IF(OR(A306="",B306="",NOT(ISNUMBER(C306))),"Fill market, product and year",IF(COUNTIF(Control!$B$11:$B$13,B306)=0,"Unknown product",IF(COUNTIFS(Dat_A,A306,Dat_B,B306,Dat_C,C306)&gt;1,"Duplicate market/product/year",IF(OR(NOT(ISNUMBER(D306)),NOT(ISNUMBER(E306))),"Add launch date and Data through date",IF(E306&lt;D306,"Data through is before launch",IF(OR(NOT(ISNUMBER(F306)),NOT(ISNUMBER(G306))),"Add units and revenue","OK")))))))</f>
        <v/>
      </c>
    </row>
    <row r="307">
      <c r="A307" s="17" t="n"/>
      <c r="B307" s="17" t="n"/>
      <c r="C307" s="17" t="n"/>
      <c r="D307" s="18" t="n"/>
      <c r="E307" s="18" t="n"/>
      <c r="F307" s="19" t="n"/>
      <c r="G307" s="20" t="n"/>
      <c r="H307" s="21">
        <f>IF(AND(ISNUMBER(D307),ISNUMBER(E307)),E307-D307+1,"")</f>
        <v/>
      </c>
      <c r="I307" s="22">
        <f>IF(AND(ISNUMBER(F307),N(F307)&gt;0,ISNUMBER(G307)),G307/F307,"")</f>
        <v/>
      </c>
      <c r="J307" s="21">
        <f>IF(OR(A307="",B307=""),"",IF(C307=Yr_Cur,"CY",IF(C307=Yr_Prev,"PY","")))</f>
        <v/>
      </c>
      <c r="K307" s="21">
        <f>IF(J307="","",IF(J307="CY",SUMIFS(Dat_H,Dat_A,A307,Dat_B,B307,Dat_C,Yr_Prev),SUMIFS(Dat_H,Dat_A,A307,Dat_B,B307,Dat_C,Yr_Cur)))</f>
        <v/>
      </c>
      <c r="L307" s="21">
        <f>IF(J307="",0,IF(AND(ISNUMBER(H307),N(K307)&gt;0,ISNUMBER(F307),ISNUMBER(G307),OR(Sel_Market="All markets",A307=Sel_Market),COUNTIFS(Control!$B$11:$B$13,B307,Control!$C$11:$C$13,"Yes")&gt;0),1,0))</f>
        <v/>
      </c>
      <c r="M307" s="21">
        <f>IF(L307=1,IF(J307="CY",H307,K307),"")</f>
        <v/>
      </c>
      <c r="N307" s="21">
        <f>IF(L307=1,IF(J307="PY",H307,K307),"")</f>
        <v/>
      </c>
      <c r="O307" s="23">
        <f>IF(L307=1,IF(J307="PY",F307*M307/N307,F307),0)</f>
        <v/>
      </c>
      <c r="P307" s="23">
        <f>IF(L307=1,IF(J307="PY",G307*M307/N307,G307),0)</f>
        <v/>
      </c>
      <c r="Q307" s="23">
        <f>IF(AND(L307=1,J307="PY"),F307*(N307-M307)/N307,0)</f>
        <v/>
      </c>
      <c r="R307" s="23">
        <f>IF(AND(L307=1,J307="PY"),G307*(N307-M307)/N307,0)</f>
        <v/>
      </c>
      <c r="S307" s="21">
        <f>IF(COUNTA(A307:G307)=0,"",IF(OR(A307="",B307="",NOT(ISNUMBER(C307))),"Fill market, product and year",IF(COUNTIF(Control!$B$11:$B$13,B307)=0,"Unknown product",IF(COUNTIFS(Dat_A,A307,Dat_B,B307,Dat_C,C307)&gt;1,"Duplicate market/product/year",IF(OR(NOT(ISNUMBER(D307)),NOT(ISNUMBER(E307))),"Add launch date and Data through date",IF(E307&lt;D307,"Data through is before launch",IF(OR(NOT(ISNUMBER(F307)),NOT(ISNUMBER(G307))),"Add units and revenue","OK")))))))</f>
        <v/>
      </c>
    </row>
    <row r="308">
      <c r="A308" s="17" t="n"/>
      <c r="B308" s="17" t="n"/>
      <c r="C308" s="17" t="n"/>
      <c r="D308" s="18" t="n"/>
      <c r="E308" s="18" t="n"/>
      <c r="F308" s="19" t="n"/>
      <c r="G308" s="20" t="n"/>
      <c r="H308" s="21">
        <f>IF(AND(ISNUMBER(D308),ISNUMBER(E308)),E308-D308+1,"")</f>
        <v/>
      </c>
      <c r="I308" s="22">
        <f>IF(AND(ISNUMBER(F308),N(F308)&gt;0,ISNUMBER(G308)),G308/F308,"")</f>
        <v/>
      </c>
      <c r="J308" s="21">
        <f>IF(OR(A308="",B308=""),"",IF(C308=Yr_Cur,"CY",IF(C308=Yr_Prev,"PY","")))</f>
        <v/>
      </c>
      <c r="K308" s="21">
        <f>IF(J308="","",IF(J308="CY",SUMIFS(Dat_H,Dat_A,A308,Dat_B,B308,Dat_C,Yr_Prev),SUMIFS(Dat_H,Dat_A,A308,Dat_B,B308,Dat_C,Yr_Cur)))</f>
        <v/>
      </c>
      <c r="L308" s="21">
        <f>IF(J308="",0,IF(AND(ISNUMBER(H308),N(K308)&gt;0,ISNUMBER(F308),ISNUMBER(G308),OR(Sel_Market="All markets",A308=Sel_Market),COUNTIFS(Control!$B$11:$B$13,B308,Control!$C$11:$C$13,"Yes")&gt;0),1,0))</f>
        <v/>
      </c>
      <c r="M308" s="21">
        <f>IF(L308=1,IF(J308="CY",H308,K308),"")</f>
        <v/>
      </c>
      <c r="N308" s="21">
        <f>IF(L308=1,IF(J308="PY",H308,K308),"")</f>
        <v/>
      </c>
      <c r="O308" s="23">
        <f>IF(L308=1,IF(J308="PY",F308*M308/N308,F308),0)</f>
        <v/>
      </c>
      <c r="P308" s="23">
        <f>IF(L308=1,IF(J308="PY",G308*M308/N308,G308),0)</f>
        <v/>
      </c>
      <c r="Q308" s="23">
        <f>IF(AND(L308=1,J308="PY"),F308*(N308-M308)/N308,0)</f>
        <v/>
      </c>
      <c r="R308" s="23">
        <f>IF(AND(L308=1,J308="PY"),G308*(N308-M308)/N308,0)</f>
        <v/>
      </c>
      <c r="S308" s="21">
        <f>IF(COUNTA(A308:G308)=0,"",IF(OR(A308="",B308="",NOT(ISNUMBER(C308))),"Fill market, product and year",IF(COUNTIF(Control!$B$11:$B$13,B308)=0,"Unknown product",IF(COUNTIFS(Dat_A,A308,Dat_B,B308,Dat_C,C308)&gt;1,"Duplicate market/product/year",IF(OR(NOT(ISNUMBER(D308)),NOT(ISNUMBER(E308))),"Add launch date and Data through date",IF(E308&lt;D308,"Data through is before launch",IF(OR(NOT(ISNUMBER(F308)),NOT(ISNUMBER(G308))),"Add units and revenue","OK")))))))</f>
        <v/>
      </c>
    </row>
    <row r="309">
      <c r="A309" s="17" t="n"/>
      <c r="B309" s="17" t="n"/>
      <c r="C309" s="17" t="n"/>
      <c r="D309" s="18" t="n"/>
      <c r="E309" s="18" t="n"/>
      <c r="F309" s="19" t="n"/>
      <c r="G309" s="20" t="n"/>
      <c r="H309" s="21">
        <f>IF(AND(ISNUMBER(D309),ISNUMBER(E309)),E309-D309+1,"")</f>
        <v/>
      </c>
      <c r="I309" s="22">
        <f>IF(AND(ISNUMBER(F309),N(F309)&gt;0,ISNUMBER(G309)),G309/F309,"")</f>
        <v/>
      </c>
      <c r="J309" s="21">
        <f>IF(OR(A309="",B309=""),"",IF(C309=Yr_Cur,"CY",IF(C309=Yr_Prev,"PY","")))</f>
        <v/>
      </c>
      <c r="K309" s="21">
        <f>IF(J309="","",IF(J309="CY",SUMIFS(Dat_H,Dat_A,A309,Dat_B,B309,Dat_C,Yr_Prev),SUMIFS(Dat_H,Dat_A,A309,Dat_B,B309,Dat_C,Yr_Cur)))</f>
        <v/>
      </c>
      <c r="L309" s="21">
        <f>IF(J309="",0,IF(AND(ISNUMBER(H309),N(K309)&gt;0,ISNUMBER(F309),ISNUMBER(G309),OR(Sel_Market="All markets",A309=Sel_Market),COUNTIFS(Control!$B$11:$B$13,B309,Control!$C$11:$C$13,"Yes")&gt;0),1,0))</f>
        <v/>
      </c>
      <c r="M309" s="21">
        <f>IF(L309=1,IF(J309="CY",H309,K309),"")</f>
        <v/>
      </c>
      <c r="N309" s="21">
        <f>IF(L309=1,IF(J309="PY",H309,K309),"")</f>
        <v/>
      </c>
      <c r="O309" s="23">
        <f>IF(L309=1,IF(J309="PY",F309*M309/N309,F309),0)</f>
        <v/>
      </c>
      <c r="P309" s="23">
        <f>IF(L309=1,IF(J309="PY",G309*M309/N309,G309),0)</f>
        <v/>
      </c>
      <c r="Q309" s="23">
        <f>IF(AND(L309=1,J309="PY"),F309*(N309-M309)/N309,0)</f>
        <v/>
      </c>
      <c r="R309" s="23">
        <f>IF(AND(L309=1,J309="PY"),G309*(N309-M309)/N309,0)</f>
        <v/>
      </c>
      <c r="S309" s="21">
        <f>IF(COUNTA(A309:G309)=0,"",IF(OR(A309="",B309="",NOT(ISNUMBER(C309))),"Fill market, product and year",IF(COUNTIF(Control!$B$11:$B$13,B309)=0,"Unknown product",IF(COUNTIFS(Dat_A,A309,Dat_B,B309,Dat_C,C309)&gt;1,"Duplicate market/product/year",IF(OR(NOT(ISNUMBER(D309)),NOT(ISNUMBER(E309))),"Add launch date and Data through date",IF(E309&lt;D309,"Data through is before launch",IF(OR(NOT(ISNUMBER(F309)),NOT(ISNUMBER(G309))),"Add units and revenue","OK")))))))</f>
        <v/>
      </c>
    </row>
    <row r="310">
      <c r="A310" s="17" t="n"/>
      <c r="B310" s="17" t="n"/>
      <c r="C310" s="17" t="n"/>
      <c r="D310" s="18" t="n"/>
      <c r="E310" s="18" t="n"/>
      <c r="F310" s="19" t="n"/>
      <c r="G310" s="20" t="n"/>
      <c r="H310" s="21">
        <f>IF(AND(ISNUMBER(D310),ISNUMBER(E310)),E310-D310+1,"")</f>
        <v/>
      </c>
      <c r="I310" s="22">
        <f>IF(AND(ISNUMBER(F310),N(F310)&gt;0,ISNUMBER(G310)),G310/F310,"")</f>
        <v/>
      </c>
      <c r="J310" s="21">
        <f>IF(OR(A310="",B310=""),"",IF(C310=Yr_Cur,"CY",IF(C310=Yr_Prev,"PY","")))</f>
        <v/>
      </c>
      <c r="K310" s="21">
        <f>IF(J310="","",IF(J310="CY",SUMIFS(Dat_H,Dat_A,A310,Dat_B,B310,Dat_C,Yr_Prev),SUMIFS(Dat_H,Dat_A,A310,Dat_B,B310,Dat_C,Yr_Cur)))</f>
        <v/>
      </c>
      <c r="L310" s="21">
        <f>IF(J310="",0,IF(AND(ISNUMBER(H310),N(K310)&gt;0,ISNUMBER(F310),ISNUMBER(G310),OR(Sel_Market="All markets",A310=Sel_Market),COUNTIFS(Control!$B$11:$B$13,B310,Control!$C$11:$C$13,"Yes")&gt;0),1,0))</f>
        <v/>
      </c>
      <c r="M310" s="21">
        <f>IF(L310=1,IF(J310="CY",H310,K310),"")</f>
        <v/>
      </c>
      <c r="N310" s="21">
        <f>IF(L310=1,IF(J310="PY",H310,K310),"")</f>
        <v/>
      </c>
      <c r="O310" s="23">
        <f>IF(L310=1,IF(J310="PY",F310*M310/N310,F310),0)</f>
        <v/>
      </c>
      <c r="P310" s="23">
        <f>IF(L310=1,IF(J310="PY",G310*M310/N310,G310),0)</f>
        <v/>
      </c>
      <c r="Q310" s="23">
        <f>IF(AND(L310=1,J310="PY"),F310*(N310-M310)/N310,0)</f>
        <v/>
      </c>
      <c r="R310" s="23">
        <f>IF(AND(L310=1,J310="PY"),G310*(N310-M310)/N310,0)</f>
        <v/>
      </c>
      <c r="S310" s="21">
        <f>IF(COUNTA(A310:G310)=0,"",IF(OR(A310="",B310="",NOT(ISNUMBER(C310))),"Fill market, product and year",IF(COUNTIF(Control!$B$11:$B$13,B310)=0,"Unknown product",IF(COUNTIFS(Dat_A,A310,Dat_B,B310,Dat_C,C310)&gt;1,"Duplicate market/product/year",IF(OR(NOT(ISNUMBER(D310)),NOT(ISNUMBER(E310))),"Add launch date and Data through date",IF(E310&lt;D310,"Data through is before launch",IF(OR(NOT(ISNUMBER(F310)),NOT(ISNUMBER(G310))),"Add units and revenue","OK")))))))</f>
        <v/>
      </c>
    </row>
    <row r="311">
      <c r="A311" s="17" t="n"/>
      <c r="B311" s="17" t="n"/>
      <c r="C311" s="17" t="n"/>
      <c r="D311" s="18" t="n"/>
      <c r="E311" s="18" t="n"/>
      <c r="F311" s="19" t="n"/>
      <c r="G311" s="20" t="n"/>
      <c r="H311" s="21">
        <f>IF(AND(ISNUMBER(D311),ISNUMBER(E311)),E311-D311+1,"")</f>
        <v/>
      </c>
      <c r="I311" s="22">
        <f>IF(AND(ISNUMBER(F311),N(F311)&gt;0,ISNUMBER(G311)),G311/F311,"")</f>
        <v/>
      </c>
      <c r="J311" s="21">
        <f>IF(OR(A311="",B311=""),"",IF(C311=Yr_Cur,"CY",IF(C311=Yr_Prev,"PY","")))</f>
        <v/>
      </c>
      <c r="K311" s="21">
        <f>IF(J311="","",IF(J311="CY",SUMIFS(Dat_H,Dat_A,A311,Dat_B,B311,Dat_C,Yr_Prev),SUMIFS(Dat_H,Dat_A,A311,Dat_B,B311,Dat_C,Yr_Cur)))</f>
        <v/>
      </c>
      <c r="L311" s="21">
        <f>IF(J311="",0,IF(AND(ISNUMBER(H311),N(K311)&gt;0,ISNUMBER(F311),ISNUMBER(G311),OR(Sel_Market="All markets",A311=Sel_Market),COUNTIFS(Control!$B$11:$B$13,B311,Control!$C$11:$C$13,"Yes")&gt;0),1,0))</f>
        <v/>
      </c>
      <c r="M311" s="21">
        <f>IF(L311=1,IF(J311="CY",H311,K311),"")</f>
        <v/>
      </c>
      <c r="N311" s="21">
        <f>IF(L311=1,IF(J311="PY",H311,K311),"")</f>
        <v/>
      </c>
      <c r="O311" s="23">
        <f>IF(L311=1,IF(J311="PY",F311*M311/N311,F311),0)</f>
        <v/>
      </c>
      <c r="P311" s="23">
        <f>IF(L311=1,IF(J311="PY",G311*M311/N311,G311),0)</f>
        <v/>
      </c>
      <c r="Q311" s="23">
        <f>IF(AND(L311=1,J311="PY"),F311*(N311-M311)/N311,0)</f>
        <v/>
      </c>
      <c r="R311" s="23">
        <f>IF(AND(L311=1,J311="PY"),G311*(N311-M311)/N311,0)</f>
        <v/>
      </c>
      <c r="S311" s="21">
        <f>IF(COUNTA(A311:G311)=0,"",IF(OR(A311="",B311="",NOT(ISNUMBER(C311))),"Fill market, product and year",IF(COUNTIF(Control!$B$11:$B$13,B311)=0,"Unknown product",IF(COUNTIFS(Dat_A,A311,Dat_B,B311,Dat_C,C311)&gt;1,"Duplicate market/product/year",IF(OR(NOT(ISNUMBER(D311)),NOT(ISNUMBER(E311))),"Add launch date and Data through date",IF(E311&lt;D311,"Data through is before launch",IF(OR(NOT(ISNUMBER(F311)),NOT(ISNUMBER(G311))),"Add units and revenue","OK")))))))</f>
        <v/>
      </c>
    </row>
    <row r="312">
      <c r="A312" s="17" t="n"/>
      <c r="B312" s="17" t="n"/>
      <c r="C312" s="17" t="n"/>
      <c r="D312" s="18" t="n"/>
      <c r="E312" s="18" t="n"/>
      <c r="F312" s="19" t="n"/>
      <c r="G312" s="20" t="n"/>
      <c r="H312" s="21">
        <f>IF(AND(ISNUMBER(D312),ISNUMBER(E312)),E312-D312+1,"")</f>
        <v/>
      </c>
      <c r="I312" s="22">
        <f>IF(AND(ISNUMBER(F312),N(F312)&gt;0,ISNUMBER(G312)),G312/F312,"")</f>
        <v/>
      </c>
      <c r="J312" s="21">
        <f>IF(OR(A312="",B312=""),"",IF(C312=Yr_Cur,"CY",IF(C312=Yr_Prev,"PY","")))</f>
        <v/>
      </c>
      <c r="K312" s="21">
        <f>IF(J312="","",IF(J312="CY",SUMIFS(Dat_H,Dat_A,A312,Dat_B,B312,Dat_C,Yr_Prev),SUMIFS(Dat_H,Dat_A,A312,Dat_B,B312,Dat_C,Yr_Cur)))</f>
        <v/>
      </c>
      <c r="L312" s="21">
        <f>IF(J312="",0,IF(AND(ISNUMBER(H312),N(K312)&gt;0,ISNUMBER(F312),ISNUMBER(G312),OR(Sel_Market="All markets",A312=Sel_Market),COUNTIFS(Control!$B$11:$B$13,B312,Control!$C$11:$C$13,"Yes")&gt;0),1,0))</f>
        <v/>
      </c>
      <c r="M312" s="21">
        <f>IF(L312=1,IF(J312="CY",H312,K312),"")</f>
        <v/>
      </c>
      <c r="N312" s="21">
        <f>IF(L312=1,IF(J312="PY",H312,K312),"")</f>
        <v/>
      </c>
      <c r="O312" s="23">
        <f>IF(L312=1,IF(J312="PY",F312*M312/N312,F312),0)</f>
        <v/>
      </c>
      <c r="P312" s="23">
        <f>IF(L312=1,IF(J312="PY",G312*M312/N312,G312),0)</f>
        <v/>
      </c>
      <c r="Q312" s="23">
        <f>IF(AND(L312=1,J312="PY"),F312*(N312-M312)/N312,0)</f>
        <v/>
      </c>
      <c r="R312" s="23">
        <f>IF(AND(L312=1,J312="PY"),G312*(N312-M312)/N312,0)</f>
        <v/>
      </c>
      <c r="S312" s="21">
        <f>IF(COUNTA(A312:G312)=0,"",IF(OR(A312="",B312="",NOT(ISNUMBER(C312))),"Fill market, product and year",IF(COUNTIF(Control!$B$11:$B$13,B312)=0,"Unknown product",IF(COUNTIFS(Dat_A,A312,Dat_B,B312,Dat_C,C312)&gt;1,"Duplicate market/product/year",IF(OR(NOT(ISNUMBER(D312)),NOT(ISNUMBER(E312))),"Add launch date and Data through date",IF(E312&lt;D312,"Data through is before launch",IF(OR(NOT(ISNUMBER(F312)),NOT(ISNUMBER(G312))),"Add units and revenue","OK")))))))</f>
        <v/>
      </c>
    </row>
    <row r="313">
      <c r="A313" s="17" t="n"/>
      <c r="B313" s="17" t="n"/>
      <c r="C313" s="17" t="n"/>
      <c r="D313" s="18" t="n"/>
      <c r="E313" s="18" t="n"/>
      <c r="F313" s="19" t="n"/>
      <c r="G313" s="20" t="n"/>
      <c r="H313" s="21">
        <f>IF(AND(ISNUMBER(D313),ISNUMBER(E313)),E313-D313+1,"")</f>
        <v/>
      </c>
      <c r="I313" s="22">
        <f>IF(AND(ISNUMBER(F313),N(F313)&gt;0,ISNUMBER(G313)),G313/F313,"")</f>
        <v/>
      </c>
      <c r="J313" s="21">
        <f>IF(OR(A313="",B313=""),"",IF(C313=Yr_Cur,"CY",IF(C313=Yr_Prev,"PY","")))</f>
        <v/>
      </c>
      <c r="K313" s="21">
        <f>IF(J313="","",IF(J313="CY",SUMIFS(Dat_H,Dat_A,A313,Dat_B,B313,Dat_C,Yr_Prev),SUMIFS(Dat_H,Dat_A,A313,Dat_B,B313,Dat_C,Yr_Cur)))</f>
        <v/>
      </c>
      <c r="L313" s="21">
        <f>IF(J313="",0,IF(AND(ISNUMBER(H313),N(K313)&gt;0,ISNUMBER(F313),ISNUMBER(G313),OR(Sel_Market="All markets",A313=Sel_Market),COUNTIFS(Control!$B$11:$B$13,B313,Control!$C$11:$C$13,"Yes")&gt;0),1,0))</f>
        <v/>
      </c>
      <c r="M313" s="21">
        <f>IF(L313=1,IF(J313="CY",H313,K313),"")</f>
        <v/>
      </c>
      <c r="N313" s="21">
        <f>IF(L313=1,IF(J313="PY",H313,K313),"")</f>
        <v/>
      </c>
      <c r="O313" s="23">
        <f>IF(L313=1,IF(J313="PY",F313*M313/N313,F313),0)</f>
        <v/>
      </c>
      <c r="P313" s="23">
        <f>IF(L313=1,IF(J313="PY",G313*M313/N313,G313),0)</f>
        <v/>
      </c>
      <c r="Q313" s="23">
        <f>IF(AND(L313=1,J313="PY"),F313*(N313-M313)/N313,0)</f>
        <v/>
      </c>
      <c r="R313" s="23">
        <f>IF(AND(L313=1,J313="PY"),G313*(N313-M313)/N313,0)</f>
        <v/>
      </c>
      <c r="S313" s="21">
        <f>IF(COUNTA(A313:G313)=0,"",IF(OR(A313="",B313="",NOT(ISNUMBER(C313))),"Fill market, product and year",IF(COUNTIF(Control!$B$11:$B$13,B313)=0,"Unknown product",IF(COUNTIFS(Dat_A,A313,Dat_B,B313,Dat_C,C313)&gt;1,"Duplicate market/product/year",IF(OR(NOT(ISNUMBER(D313)),NOT(ISNUMBER(E313))),"Add launch date and Data through date",IF(E313&lt;D313,"Data through is before launch",IF(OR(NOT(ISNUMBER(F313)),NOT(ISNUMBER(G313))),"Add units and revenue","OK")))))))</f>
        <v/>
      </c>
    </row>
    <row r="314">
      <c r="A314" s="17" t="n"/>
      <c r="B314" s="17" t="n"/>
      <c r="C314" s="17" t="n"/>
      <c r="D314" s="18" t="n"/>
      <c r="E314" s="18" t="n"/>
      <c r="F314" s="19" t="n"/>
      <c r="G314" s="20" t="n"/>
      <c r="H314" s="21">
        <f>IF(AND(ISNUMBER(D314),ISNUMBER(E314)),E314-D314+1,"")</f>
        <v/>
      </c>
      <c r="I314" s="22">
        <f>IF(AND(ISNUMBER(F314),N(F314)&gt;0,ISNUMBER(G314)),G314/F314,"")</f>
        <v/>
      </c>
      <c r="J314" s="21">
        <f>IF(OR(A314="",B314=""),"",IF(C314=Yr_Cur,"CY",IF(C314=Yr_Prev,"PY","")))</f>
        <v/>
      </c>
      <c r="K314" s="21">
        <f>IF(J314="","",IF(J314="CY",SUMIFS(Dat_H,Dat_A,A314,Dat_B,B314,Dat_C,Yr_Prev),SUMIFS(Dat_H,Dat_A,A314,Dat_B,B314,Dat_C,Yr_Cur)))</f>
        <v/>
      </c>
      <c r="L314" s="21">
        <f>IF(J314="",0,IF(AND(ISNUMBER(H314),N(K314)&gt;0,ISNUMBER(F314),ISNUMBER(G314),OR(Sel_Market="All markets",A314=Sel_Market),COUNTIFS(Control!$B$11:$B$13,B314,Control!$C$11:$C$13,"Yes")&gt;0),1,0))</f>
        <v/>
      </c>
      <c r="M314" s="21">
        <f>IF(L314=1,IF(J314="CY",H314,K314),"")</f>
        <v/>
      </c>
      <c r="N314" s="21">
        <f>IF(L314=1,IF(J314="PY",H314,K314),"")</f>
        <v/>
      </c>
      <c r="O314" s="23">
        <f>IF(L314=1,IF(J314="PY",F314*M314/N314,F314),0)</f>
        <v/>
      </c>
      <c r="P314" s="23">
        <f>IF(L314=1,IF(J314="PY",G314*M314/N314,G314),0)</f>
        <v/>
      </c>
      <c r="Q314" s="23">
        <f>IF(AND(L314=1,J314="PY"),F314*(N314-M314)/N314,0)</f>
        <v/>
      </c>
      <c r="R314" s="23">
        <f>IF(AND(L314=1,J314="PY"),G314*(N314-M314)/N314,0)</f>
        <v/>
      </c>
      <c r="S314" s="21">
        <f>IF(COUNTA(A314:G314)=0,"",IF(OR(A314="",B314="",NOT(ISNUMBER(C314))),"Fill market, product and year",IF(COUNTIF(Control!$B$11:$B$13,B314)=0,"Unknown product",IF(COUNTIFS(Dat_A,A314,Dat_B,B314,Dat_C,C314)&gt;1,"Duplicate market/product/year",IF(OR(NOT(ISNUMBER(D314)),NOT(ISNUMBER(E314))),"Add launch date and Data through date",IF(E314&lt;D314,"Data through is before launch",IF(OR(NOT(ISNUMBER(F314)),NOT(ISNUMBER(G314))),"Add units and revenue","OK")))))))</f>
        <v/>
      </c>
    </row>
    <row r="315">
      <c r="A315" s="17" t="n"/>
      <c r="B315" s="17" t="n"/>
      <c r="C315" s="17" t="n"/>
      <c r="D315" s="18" t="n"/>
      <c r="E315" s="18" t="n"/>
      <c r="F315" s="19" t="n"/>
      <c r="G315" s="20" t="n"/>
      <c r="H315" s="21">
        <f>IF(AND(ISNUMBER(D315),ISNUMBER(E315)),E315-D315+1,"")</f>
        <v/>
      </c>
      <c r="I315" s="22">
        <f>IF(AND(ISNUMBER(F315),N(F315)&gt;0,ISNUMBER(G315)),G315/F315,"")</f>
        <v/>
      </c>
      <c r="J315" s="21">
        <f>IF(OR(A315="",B315=""),"",IF(C315=Yr_Cur,"CY",IF(C315=Yr_Prev,"PY","")))</f>
        <v/>
      </c>
      <c r="K315" s="21">
        <f>IF(J315="","",IF(J315="CY",SUMIFS(Dat_H,Dat_A,A315,Dat_B,B315,Dat_C,Yr_Prev),SUMIFS(Dat_H,Dat_A,A315,Dat_B,B315,Dat_C,Yr_Cur)))</f>
        <v/>
      </c>
      <c r="L315" s="21">
        <f>IF(J315="",0,IF(AND(ISNUMBER(H315),N(K315)&gt;0,ISNUMBER(F315),ISNUMBER(G315),OR(Sel_Market="All markets",A315=Sel_Market),COUNTIFS(Control!$B$11:$B$13,B315,Control!$C$11:$C$13,"Yes")&gt;0),1,0))</f>
        <v/>
      </c>
      <c r="M315" s="21">
        <f>IF(L315=1,IF(J315="CY",H315,K315),"")</f>
        <v/>
      </c>
      <c r="N315" s="21">
        <f>IF(L315=1,IF(J315="PY",H315,K315),"")</f>
        <v/>
      </c>
      <c r="O315" s="23">
        <f>IF(L315=1,IF(J315="PY",F315*M315/N315,F315),0)</f>
        <v/>
      </c>
      <c r="P315" s="23">
        <f>IF(L315=1,IF(J315="PY",G315*M315/N315,G315),0)</f>
        <v/>
      </c>
      <c r="Q315" s="23">
        <f>IF(AND(L315=1,J315="PY"),F315*(N315-M315)/N315,0)</f>
        <v/>
      </c>
      <c r="R315" s="23">
        <f>IF(AND(L315=1,J315="PY"),G315*(N315-M315)/N315,0)</f>
        <v/>
      </c>
      <c r="S315" s="21">
        <f>IF(COUNTA(A315:G315)=0,"",IF(OR(A315="",B315="",NOT(ISNUMBER(C315))),"Fill market, product and year",IF(COUNTIF(Control!$B$11:$B$13,B315)=0,"Unknown product",IF(COUNTIFS(Dat_A,A315,Dat_B,B315,Dat_C,C315)&gt;1,"Duplicate market/product/year",IF(OR(NOT(ISNUMBER(D315)),NOT(ISNUMBER(E315))),"Add launch date and Data through date",IF(E315&lt;D315,"Data through is before launch",IF(OR(NOT(ISNUMBER(F315)),NOT(ISNUMBER(G315))),"Add units and revenue","OK")))))))</f>
        <v/>
      </c>
    </row>
    <row r="316">
      <c r="A316" s="17" t="n"/>
      <c r="B316" s="17" t="n"/>
      <c r="C316" s="17" t="n"/>
      <c r="D316" s="18" t="n"/>
      <c r="E316" s="18" t="n"/>
      <c r="F316" s="19" t="n"/>
      <c r="G316" s="20" t="n"/>
      <c r="H316" s="21">
        <f>IF(AND(ISNUMBER(D316),ISNUMBER(E316)),E316-D316+1,"")</f>
        <v/>
      </c>
      <c r="I316" s="22">
        <f>IF(AND(ISNUMBER(F316),N(F316)&gt;0,ISNUMBER(G316)),G316/F316,"")</f>
        <v/>
      </c>
      <c r="J316" s="21">
        <f>IF(OR(A316="",B316=""),"",IF(C316=Yr_Cur,"CY",IF(C316=Yr_Prev,"PY","")))</f>
        <v/>
      </c>
      <c r="K316" s="21">
        <f>IF(J316="","",IF(J316="CY",SUMIFS(Dat_H,Dat_A,A316,Dat_B,B316,Dat_C,Yr_Prev),SUMIFS(Dat_H,Dat_A,A316,Dat_B,B316,Dat_C,Yr_Cur)))</f>
        <v/>
      </c>
      <c r="L316" s="21">
        <f>IF(J316="",0,IF(AND(ISNUMBER(H316),N(K316)&gt;0,ISNUMBER(F316),ISNUMBER(G316),OR(Sel_Market="All markets",A316=Sel_Market),COUNTIFS(Control!$B$11:$B$13,B316,Control!$C$11:$C$13,"Yes")&gt;0),1,0))</f>
        <v/>
      </c>
      <c r="M316" s="21">
        <f>IF(L316=1,IF(J316="CY",H316,K316),"")</f>
        <v/>
      </c>
      <c r="N316" s="21">
        <f>IF(L316=1,IF(J316="PY",H316,K316),"")</f>
        <v/>
      </c>
      <c r="O316" s="23">
        <f>IF(L316=1,IF(J316="PY",F316*M316/N316,F316),0)</f>
        <v/>
      </c>
      <c r="P316" s="23">
        <f>IF(L316=1,IF(J316="PY",G316*M316/N316,G316),0)</f>
        <v/>
      </c>
      <c r="Q316" s="23">
        <f>IF(AND(L316=1,J316="PY"),F316*(N316-M316)/N316,0)</f>
        <v/>
      </c>
      <c r="R316" s="23">
        <f>IF(AND(L316=1,J316="PY"),G316*(N316-M316)/N316,0)</f>
        <v/>
      </c>
      <c r="S316" s="21">
        <f>IF(COUNTA(A316:G316)=0,"",IF(OR(A316="",B316="",NOT(ISNUMBER(C316))),"Fill market, product and year",IF(COUNTIF(Control!$B$11:$B$13,B316)=0,"Unknown product",IF(COUNTIFS(Dat_A,A316,Dat_B,B316,Dat_C,C316)&gt;1,"Duplicate market/product/year",IF(OR(NOT(ISNUMBER(D316)),NOT(ISNUMBER(E316))),"Add launch date and Data through date",IF(E316&lt;D316,"Data through is before launch",IF(OR(NOT(ISNUMBER(F316)),NOT(ISNUMBER(G316))),"Add units and revenue","OK")))))))</f>
        <v/>
      </c>
    </row>
    <row r="317">
      <c r="A317" s="17" t="n"/>
      <c r="B317" s="17" t="n"/>
      <c r="C317" s="17" t="n"/>
      <c r="D317" s="18" t="n"/>
      <c r="E317" s="18" t="n"/>
      <c r="F317" s="19" t="n"/>
      <c r="G317" s="20" t="n"/>
      <c r="H317" s="21">
        <f>IF(AND(ISNUMBER(D317),ISNUMBER(E317)),E317-D317+1,"")</f>
        <v/>
      </c>
      <c r="I317" s="22">
        <f>IF(AND(ISNUMBER(F317),N(F317)&gt;0,ISNUMBER(G317)),G317/F317,"")</f>
        <v/>
      </c>
      <c r="J317" s="21">
        <f>IF(OR(A317="",B317=""),"",IF(C317=Yr_Cur,"CY",IF(C317=Yr_Prev,"PY","")))</f>
        <v/>
      </c>
      <c r="K317" s="21">
        <f>IF(J317="","",IF(J317="CY",SUMIFS(Dat_H,Dat_A,A317,Dat_B,B317,Dat_C,Yr_Prev),SUMIFS(Dat_H,Dat_A,A317,Dat_B,B317,Dat_C,Yr_Cur)))</f>
        <v/>
      </c>
      <c r="L317" s="21">
        <f>IF(J317="",0,IF(AND(ISNUMBER(H317),N(K317)&gt;0,ISNUMBER(F317),ISNUMBER(G317),OR(Sel_Market="All markets",A317=Sel_Market),COUNTIFS(Control!$B$11:$B$13,B317,Control!$C$11:$C$13,"Yes")&gt;0),1,0))</f>
        <v/>
      </c>
      <c r="M317" s="21">
        <f>IF(L317=1,IF(J317="CY",H317,K317),"")</f>
        <v/>
      </c>
      <c r="N317" s="21">
        <f>IF(L317=1,IF(J317="PY",H317,K317),"")</f>
        <v/>
      </c>
      <c r="O317" s="23">
        <f>IF(L317=1,IF(J317="PY",F317*M317/N317,F317),0)</f>
        <v/>
      </c>
      <c r="P317" s="23">
        <f>IF(L317=1,IF(J317="PY",G317*M317/N317,G317),0)</f>
        <v/>
      </c>
      <c r="Q317" s="23">
        <f>IF(AND(L317=1,J317="PY"),F317*(N317-M317)/N317,0)</f>
        <v/>
      </c>
      <c r="R317" s="23">
        <f>IF(AND(L317=1,J317="PY"),G317*(N317-M317)/N317,0)</f>
        <v/>
      </c>
      <c r="S317" s="21">
        <f>IF(COUNTA(A317:G317)=0,"",IF(OR(A317="",B317="",NOT(ISNUMBER(C317))),"Fill market, product and year",IF(COUNTIF(Control!$B$11:$B$13,B317)=0,"Unknown product",IF(COUNTIFS(Dat_A,A317,Dat_B,B317,Dat_C,C317)&gt;1,"Duplicate market/product/year",IF(OR(NOT(ISNUMBER(D317)),NOT(ISNUMBER(E317))),"Add launch date and Data through date",IF(E317&lt;D317,"Data through is before launch",IF(OR(NOT(ISNUMBER(F317)),NOT(ISNUMBER(G317))),"Add units and revenue","OK")))))))</f>
        <v/>
      </c>
    </row>
    <row r="318">
      <c r="A318" s="17" t="n"/>
      <c r="B318" s="17" t="n"/>
      <c r="C318" s="17" t="n"/>
      <c r="D318" s="18" t="n"/>
      <c r="E318" s="18" t="n"/>
      <c r="F318" s="19" t="n"/>
      <c r="G318" s="20" t="n"/>
      <c r="H318" s="21">
        <f>IF(AND(ISNUMBER(D318),ISNUMBER(E318)),E318-D318+1,"")</f>
        <v/>
      </c>
      <c r="I318" s="22">
        <f>IF(AND(ISNUMBER(F318),N(F318)&gt;0,ISNUMBER(G318)),G318/F318,"")</f>
        <v/>
      </c>
      <c r="J318" s="21">
        <f>IF(OR(A318="",B318=""),"",IF(C318=Yr_Cur,"CY",IF(C318=Yr_Prev,"PY","")))</f>
        <v/>
      </c>
      <c r="K318" s="21">
        <f>IF(J318="","",IF(J318="CY",SUMIFS(Dat_H,Dat_A,A318,Dat_B,B318,Dat_C,Yr_Prev),SUMIFS(Dat_H,Dat_A,A318,Dat_B,B318,Dat_C,Yr_Cur)))</f>
        <v/>
      </c>
      <c r="L318" s="21">
        <f>IF(J318="",0,IF(AND(ISNUMBER(H318),N(K318)&gt;0,ISNUMBER(F318),ISNUMBER(G318),OR(Sel_Market="All markets",A318=Sel_Market),COUNTIFS(Control!$B$11:$B$13,B318,Control!$C$11:$C$13,"Yes")&gt;0),1,0))</f>
        <v/>
      </c>
      <c r="M318" s="21">
        <f>IF(L318=1,IF(J318="CY",H318,K318),"")</f>
        <v/>
      </c>
      <c r="N318" s="21">
        <f>IF(L318=1,IF(J318="PY",H318,K318),"")</f>
        <v/>
      </c>
      <c r="O318" s="23">
        <f>IF(L318=1,IF(J318="PY",F318*M318/N318,F318),0)</f>
        <v/>
      </c>
      <c r="P318" s="23">
        <f>IF(L318=1,IF(J318="PY",G318*M318/N318,G318),0)</f>
        <v/>
      </c>
      <c r="Q318" s="23">
        <f>IF(AND(L318=1,J318="PY"),F318*(N318-M318)/N318,0)</f>
        <v/>
      </c>
      <c r="R318" s="23">
        <f>IF(AND(L318=1,J318="PY"),G318*(N318-M318)/N318,0)</f>
        <v/>
      </c>
      <c r="S318" s="21">
        <f>IF(COUNTA(A318:G318)=0,"",IF(OR(A318="",B318="",NOT(ISNUMBER(C318))),"Fill market, product and year",IF(COUNTIF(Control!$B$11:$B$13,B318)=0,"Unknown product",IF(COUNTIFS(Dat_A,A318,Dat_B,B318,Dat_C,C318)&gt;1,"Duplicate market/product/year",IF(OR(NOT(ISNUMBER(D318)),NOT(ISNUMBER(E318))),"Add launch date and Data through date",IF(E318&lt;D318,"Data through is before launch",IF(OR(NOT(ISNUMBER(F318)),NOT(ISNUMBER(G318))),"Add units and revenue","OK")))))))</f>
        <v/>
      </c>
    </row>
    <row r="319">
      <c r="A319" s="17" t="n"/>
      <c r="B319" s="17" t="n"/>
      <c r="C319" s="17" t="n"/>
      <c r="D319" s="18" t="n"/>
      <c r="E319" s="18" t="n"/>
      <c r="F319" s="19" t="n"/>
      <c r="G319" s="20" t="n"/>
      <c r="H319" s="21">
        <f>IF(AND(ISNUMBER(D319),ISNUMBER(E319)),E319-D319+1,"")</f>
        <v/>
      </c>
      <c r="I319" s="22">
        <f>IF(AND(ISNUMBER(F319),N(F319)&gt;0,ISNUMBER(G319)),G319/F319,"")</f>
        <v/>
      </c>
      <c r="J319" s="21">
        <f>IF(OR(A319="",B319=""),"",IF(C319=Yr_Cur,"CY",IF(C319=Yr_Prev,"PY","")))</f>
        <v/>
      </c>
      <c r="K319" s="21">
        <f>IF(J319="","",IF(J319="CY",SUMIFS(Dat_H,Dat_A,A319,Dat_B,B319,Dat_C,Yr_Prev),SUMIFS(Dat_H,Dat_A,A319,Dat_B,B319,Dat_C,Yr_Cur)))</f>
        <v/>
      </c>
      <c r="L319" s="21">
        <f>IF(J319="",0,IF(AND(ISNUMBER(H319),N(K319)&gt;0,ISNUMBER(F319),ISNUMBER(G319),OR(Sel_Market="All markets",A319=Sel_Market),COUNTIFS(Control!$B$11:$B$13,B319,Control!$C$11:$C$13,"Yes")&gt;0),1,0))</f>
        <v/>
      </c>
      <c r="M319" s="21">
        <f>IF(L319=1,IF(J319="CY",H319,K319),"")</f>
        <v/>
      </c>
      <c r="N319" s="21">
        <f>IF(L319=1,IF(J319="PY",H319,K319),"")</f>
        <v/>
      </c>
      <c r="O319" s="23">
        <f>IF(L319=1,IF(J319="PY",F319*M319/N319,F319),0)</f>
        <v/>
      </c>
      <c r="P319" s="23">
        <f>IF(L319=1,IF(J319="PY",G319*M319/N319,G319),0)</f>
        <v/>
      </c>
      <c r="Q319" s="23">
        <f>IF(AND(L319=1,J319="PY"),F319*(N319-M319)/N319,0)</f>
        <v/>
      </c>
      <c r="R319" s="23">
        <f>IF(AND(L319=1,J319="PY"),G319*(N319-M319)/N319,0)</f>
        <v/>
      </c>
      <c r="S319" s="21">
        <f>IF(COUNTA(A319:G319)=0,"",IF(OR(A319="",B319="",NOT(ISNUMBER(C319))),"Fill market, product and year",IF(COUNTIF(Control!$B$11:$B$13,B319)=0,"Unknown product",IF(COUNTIFS(Dat_A,A319,Dat_B,B319,Dat_C,C319)&gt;1,"Duplicate market/product/year",IF(OR(NOT(ISNUMBER(D319)),NOT(ISNUMBER(E319))),"Add launch date and Data through date",IF(E319&lt;D319,"Data through is before launch",IF(OR(NOT(ISNUMBER(F319)),NOT(ISNUMBER(G319))),"Add units and revenue","OK")))))))</f>
        <v/>
      </c>
    </row>
    <row r="320">
      <c r="A320" s="17" t="n"/>
      <c r="B320" s="17" t="n"/>
      <c r="C320" s="17" t="n"/>
      <c r="D320" s="18" t="n"/>
      <c r="E320" s="18" t="n"/>
      <c r="F320" s="19" t="n"/>
      <c r="G320" s="20" t="n"/>
      <c r="H320" s="21">
        <f>IF(AND(ISNUMBER(D320),ISNUMBER(E320)),E320-D320+1,"")</f>
        <v/>
      </c>
      <c r="I320" s="22">
        <f>IF(AND(ISNUMBER(F320),N(F320)&gt;0,ISNUMBER(G320)),G320/F320,"")</f>
        <v/>
      </c>
      <c r="J320" s="21">
        <f>IF(OR(A320="",B320=""),"",IF(C320=Yr_Cur,"CY",IF(C320=Yr_Prev,"PY","")))</f>
        <v/>
      </c>
      <c r="K320" s="21">
        <f>IF(J320="","",IF(J320="CY",SUMIFS(Dat_H,Dat_A,A320,Dat_B,B320,Dat_C,Yr_Prev),SUMIFS(Dat_H,Dat_A,A320,Dat_B,B320,Dat_C,Yr_Cur)))</f>
        <v/>
      </c>
      <c r="L320" s="21">
        <f>IF(J320="",0,IF(AND(ISNUMBER(H320),N(K320)&gt;0,ISNUMBER(F320),ISNUMBER(G320),OR(Sel_Market="All markets",A320=Sel_Market),COUNTIFS(Control!$B$11:$B$13,B320,Control!$C$11:$C$13,"Yes")&gt;0),1,0))</f>
        <v/>
      </c>
      <c r="M320" s="21">
        <f>IF(L320=1,IF(J320="CY",H320,K320),"")</f>
        <v/>
      </c>
      <c r="N320" s="21">
        <f>IF(L320=1,IF(J320="PY",H320,K320),"")</f>
        <v/>
      </c>
      <c r="O320" s="23">
        <f>IF(L320=1,IF(J320="PY",F320*M320/N320,F320),0)</f>
        <v/>
      </c>
      <c r="P320" s="23">
        <f>IF(L320=1,IF(J320="PY",G320*M320/N320,G320),0)</f>
        <v/>
      </c>
      <c r="Q320" s="23">
        <f>IF(AND(L320=1,J320="PY"),F320*(N320-M320)/N320,0)</f>
        <v/>
      </c>
      <c r="R320" s="23">
        <f>IF(AND(L320=1,J320="PY"),G320*(N320-M320)/N320,0)</f>
        <v/>
      </c>
      <c r="S320" s="21">
        <f>IF(COUNTA(A320:G320)=0,"",IF(OR(A320="",B320="",NOT(ISNUMBER(C320))),"Fill market, product and year",IF(COUNTIF(Control!$B$11:$B$13,B320)=0,"Unknown product",IF(COUNTIFS(Dat_A,A320,Dat_B,B320,Dat_C,C320)&gt;1,"Duplicate market/product/year",IF(OR(NOT(ISNUMBER(D320)),NOT(ISNUMBER(E320))),"Add launch date and Data through date",IF(E320&lt;D320,"Data through is before launch",IF(OR(NOT(ISNUMBER(F320)),NOT(ISNUMBER(G320))),"Add units and revenue","OK")))))))</f>
        <v/>
      </c>
    </row>
    <row r="321">
      <c r="A321" s="17" t="n"/>
      <c r="B321" s="17" t="n"/>
      <c r="C321" s="17" t="n"/>
      <c r="D321" s="18" t="n"/>
      <c r="E321" s="18" t="n"/>
      <c r="F321" s="19" t="n"/>
      <c r="G321" s="20" t="n"/>
      <c r="H321" s="21">
        <f>IF(AND(ISNUMBER(D321),ISNUMBER(E321)),E321-D321+1,"")</f>
        <v/>
      </c>
      <c r="I321" s="22">
        <f>IF(AND(ISNUMBER(F321),N(F321)&gt;0,ISNUMBER(G321)),G321/F321,"")</f>
        <v/>
      </c>
      <c r="J321" s="21">
        <f>IF(OR(A321="",B321=""),"",IF(C321=Yr_Cur,"CY",IF(C321=Yr_Prev,"PY","")))</f>
        <v/>
      </c>
      <c r="K321" s="21">
        <f>IF(J321="","",IF(J321="CY",SUMIFS(Dat_H,Dat_A,A321,Dat_B,B321,Dat_C,Yr_Prev),SUMIFS(Dat_H,Dat_A,A321,Dat_B,B321,Dat_C,Yr_Cur)))</f>
        <v/>
      </c>
      <c r="L321" s="21">
        <f>IF(J321="",0,IF(AND(ISNUMBER(H321),N(K321)&gt;0,ISNUMBER(F321),ISNUMBER(G321),OR(Sel_Market="All markets",A321=Sel_Market),COUNTIFS(Control!$B$11:$B$13,B321,Control!$C$11:$C$13,"Yes")&gt;0),1,0))</f>
        <v/>
      </c>
      <c r="M321" s="21">
        <f>IF(L321=1,IF(J321="CY",H321,K321),"")</f>
        <v/>
      </c>
      <c r="N321" s="21">
        <f>IF(L321=1,IF(J321="PY",H321,K321),"")</f>
        <v/>
      </c>
      <c r="O321" s="23">
        <f>IF(L321=1,IF(J321="PY",F321*M321/N321,F321),0)</f>
        <v/>
      </c>
      <c r="P321" s="23">
        <f>IF(L321=1,IF(J321="PY",G321*M321/N321,G321),0)</f>
        <v/>
      </c>
      <c r="Q321" s="23">
        <f>IF(AND(L321=1,J321="PY"),F321*(N321-M321)/N321,0)</f>
        <v/>
      </c>
      <c r="R321" s="23">
        <f>IF(AND(L321=1,J321="PY"),G321*(N321-M321)/N321,0)</f>
        <v/>
      </c>
      <c r="S321" s="21">
        <f>IF(COUNTA(A321:G321)=0,"",IF(OR(A321="",B321="",NOT(ISNUMBER(C321))),"Fill market, product and year",IF(COUNTIF(Control!$B$11:$B$13,B321)=0,"Unknown product",IF(COUNTIFS(Dat_A,A321,Dat_B,B321,Dat_C,C321)&gt;1,"Duplicate market/product/year",IF(OR(NOT(ISNUMBER(D321)),NOT(ISNUMBER(E321))),"Add launch date and Data through date",IF(E321&lt;D321,"Data through is before launch",IF(OR(NOT(ISNUMBER(F321)),NOT(ISNUMBER(G321))),"Add units and revenue","OK")))))))</f>
        <v/>
      </c>
    </row>
    <row r="322">
      <c r="A322" s="17" t="n"/>
      <c r="B322" s="17" t="n"/>
      <c r="C322" s="17" t="n"/>
      <c r="D322" s="18" t="n"/>
      <c r="E322" s="18" t="n"/>
      <c r="F322" s="19" t="n"/>
      <c r="G322" s="20" t="n"/>
      <c r="H322" s="21">
        <f>IF(AND(ISNUMBER(D322),ISNUMBER(E322)),E322-D322+1,"")</f>
        <v/>
      </c>
      <c r="I322" s="22">
        <f>IF(AND(ISNUMBER(F322),N(F322)&gt;0,ISNUMBER(G322)),G322/F322,"")</f>
        <v/>
      </c>
      <c r="J322" s="21">
        <f>IF(OR(A322="",B322=""),"",IF(C322=Yr_Cur,"CY",IF(C322=Yr_Prev,"PY","")))</f>
        <v/>
      </c>
      <c r="K322" s="21">
        <f>IF(J322="","",IF(J322="CY",SUMIFS(Dat_H,Dat_A,A322,Dat_B,B322,Dat_C,Yr_Prev),SUMIFS(Dat_H,Dat_A,A322,Dat_B,B322,Dat_C,Yr_Cur)))</f>
        <v/>
      </c>
      <c r="L322" s="21">
        <f>IF(J322="",0,IF(AND(ISNUMBER(H322),N(K322)&gt;0,ISNUMBER(F322),ISNUMBER(G322),OR(Sel_Market="All markets",A322=Sel_Market),COUNTIFS(Control!$B$11:$B$13,B322,Control!$C$11:$C$13,"Yes")&gt;0),1,0))</f>
        <v/>
      </c>
      <c r="M322" s="21">
        <f>IF(L322=1,IF(J322="CY",H322,K322),"")</f>
        <v/>
      </c>
      <c r="N322" s="21">
        <f>IF(L322=1,IF(J322="PY",H322,K322),"")</f>
        <v/>
      </c>
      <c r="O322" s="23">
        <f>IF(L322=1,IF(J322="PY",F322*M322/N322,F322),0)</f>
        <v/>
      </c>
      <c r="P322" s="23">
        <f>IF(L322=1,IF(J322="PY",G322*M322/N322,G322),0)</f>
        <v/>
      </c>
      <c r="Q322" s="23">
        <f>IF(AND(L322=1,J322="PY"),F322*(N322-M322)/N322,0)</f>
        <v/>
      </c>
      <c r="R322" s="23">
        <f>IF(AND(L322=1,J322="PY"),G322*(N322-M322)/N322,0)</f>
        <v/>
      </c>
      <c r="S322" s="21">
        <f>IF(COUNTA(A322:G322)=0,"",IF(OR(A322="",B322="",NOT(ISNUMBER(C322))),"Fill market, product and year",IF(COUNTIF(Control!$B$11:$B$13,B322)=0,"Unknown product",IF(COUNTIFS(Dat_A,A322,Dat_B,B322,Dat_C,C322)&gt;1,"Duplicate market/product/year",IF(OR(NOT(ISNUMBER(D322)),NOT(ISNUMBER(E322))),"Add launch date and Data through date",IF(E322&lt;D322,"Data through is before launch",IF(OR(NOT(ISNUMBER(F322)),NOT(ISNUMBER(G322))),"Add units and revenue","OK")))))))</f>
        <v/>
      </c>
    </row>
    <row r="323">
      <c r="A323" s="17" t="n"/>
      <c r="B323" s="17" t="n"/>
      <c r="C323" s="17" t="n"/>
      <c r="D323" s="18" t="n"/>
      <c r="E323" s="18" t="n"/>
      <c r="F323" s="19" t="n"/>
      <c r="G323" s="20" t="n"/>
      <c r="H323" s="21">
        <f>IF(AND(ISNUMBER(D323),ISNUMBER(E323)),E323-D323+1,"")</f>
        <v/>
      </c>
      <c r="I323" s="22">
        <f>IF(AND(ISNUMBER(F323),N(F323)&gt;0,ISNUMBER(G323)),G323/F323,"")</f>
        <v/>
      </c>
      <c r="J323" s="21">
        <f>IF(OR(A323="",B323=""),"",IF(C323=Yr_Cur,"CY",IF(C323=Yr_Prev,"PY","")))</f>
        <v/>
      </c>
      <c r="K323" s="21">
        <f>IF(J323="","",IF(J323="CY",SUMIFS(Dat_H,Dat_A,A323,Dat_B,B323,Dat_C,Yr_Prev),SUMIFS(Dat_H,Dat_A,A323,Dat_B,B323,Dat_C,Yr_Cur)))</f>
        <v/>
      </c>
      <c r="L323" s="21">
        <f>IF(J323="",0,IF(AND(ISNUMBER(H323),N(K323)&gt;0,ISNUMBER(F323),ISNUMBER(G323),OR(Sel_Market="All markets",A323=Sel_Market),COUNTIFS(Control!$B$11:$B$13,B323,Control!$C$11:$C$13,"Yes")&gt;0),1,0))</f>
        <v/>
      </c>
      <c r="M323" s="21">
        <f>IF(L323=1,IF(J323="CY",H323,K323),"")</f>
        <v/>
      </c>
      <c r="N323" s="21">
        <f>IF(L323=1,IF(J323="PY",H323,K323),"")</f>
        <v/>
      </c>
      <c r="O323" s="23">
        <f>IF(L323=1,IF(J323="PY",F323*M323/N323,F323),0)</f>
        <v/>
      </c>
      <c r="P323" s="23">
        <f>IF(L323=1,IF(J323="PY",G323*M323/N323,G323),0)</f>
        <v/>
      </c>
      <c r="Q323" s="23">
        <f>IF(AND(L323=1,J323="PY"),F323*(N323-M323)/N323,0)</f>
        <v/>
      </c>
      <c r="R323" s="23">
        <f>IF(AND(L323=1,J323="PY"),G323*(N323-M323)/N323,0)</f>
        <v/>
      </c>
      <c r="S323" s="21">
        <f>IF(COUNTA(A323:G323)=0,"",IF(OR(A323="",B323="",NOT(ISNUMBER(C323))),"Fill market, product and year",IF(COUNTIF(Control!$B$11:$B$13,B323)=0,"Unknown product",IF(COUNTIFS(Dat_A,A323,Dat_B,B323,Dat_C,C323)&gt;1,"Duplicate market/product/year",IF(OR(NOT(ISNUMBER(D323)),NOT(ISNUMBER(E323))),"Add launch date and Data through date",IF(E323&lt;D323,"Data through is before launch",IF(OR(NOT(ISNUMBER(F323)),NOT(ISNUMBER(G323))),"Add units and revenue","OK")))))))</f>
        <v/>
      </c>
    </row>
    <row r="324">
      <c r="A324" s="17" t="n"/>
      <c r="B324" s="17" t="n"/>
      <c r="C324" s="17" t="n"/>
      <c r="D324" s="18" t="n"/>
      <c r="E324" s="18" t="n"/>
      <c r="F324" s="19" t="n"/>
      <c r="G324" s="20" t="n"/>
      <c r="H324" s="21">
        <f>IF(AND(ISNUMBER(D324),ISNUMBER(E324)),E324-D324+1,"")</f>
        <v/>
      </c>
      <c r="I324" s="22">
        <f>IF(AND(ISNUMBER(F324),N(F324)&gt;0,ISNUMBER(G324)),G324/F324,"")</f>
        <v/>
      </c>
      <c r="J324" s="21">
        <f>IF(OR(A324="",B324=""),"",IF(C324=Yr_Cur,"CY",IF(C324=Yr_Prev,"PY","")))</f>
        <v/>
      </c>
      <c r="K324" s="21">
        <f>IF(J324="","",IF(J324="CY",SUMIFS(Dat_H,Dat_A,A324,Dat_B,B324,Dat_C,Yr_Prev),SUMIFS(Dat_H,Dat_A,A324,Dat_B,B324,Dat_C,Yr_Cur)))</f>
        <v/>
      </c>
      <c r="L324" s="21">
        <f>IF(J324="",0,IF(AND(ISNUMBER(H324),N(K324)&gt;0,ISNUMBER(F324),ISNUMBER(G324),OR(Sel_Market="All markets",A324=Sel_Market),COUNTIFS(Control!$B$11:$B$13,B324,Control!$C$11:$C$13,"Yes")&gt;0),1,0))</f>
        <v/>
      </c>
      <c r="M324" s="21">
        <f>IF(L324=1,IF(J324="CY",H324,K324),"")</f>
        <v/>
      </c>
      <c r="N324" s="21">
        <f>IF(L324=1,IF(J324="PY",H324,K324),"")</f>
        <v/>
      </c>
      <c r="O324" s="23">
        <f>IF(L324=1,IF(J324="PY",F324*M324/N324,F324),0)</f>
        <v/>
      </c>
      <c r="P324" s="23">
        <f>IF(L324=1,IF(J324="PY",G324*M324/N324,G324),0)</f>
        <v/>
      </c>
      <c r="Q324" s="23">
        <f>IF(AND(L324=1,J324="PY"),F324*(N324-M324)/N324,0)</f>
        <v/>
      </c>
      <c r="R324" s="23">
        <f>IF(AND(L324=1,J324="PY"),G324*(N324-M324)/N324,0)</f>
        <v/>
      </c>
      <c r="S324" s="21">
        <f>IF(COUNTA(A324:G324)=0,"",IF(OR(A324="",B324="",NOT(ISNUMBER(C324))),"Fill market, product and year",IF(COUNTIF(Control!$B$11:$B$13,B324)=0,"Unknown product",IF(COUNTIFS(Dat_A,A324,Dat_B,B324,Dat_C,C324)&gt;1,"Duplicate market/product/year",IF(OR(NOT(ISNUMBER(D324)),NOT(ISNUMBER(E324))),"Add launch date and Data through date",IF(E324&lt;D324,"Data through is before launch",IF(OR(NOT(ISNUMBER(F324)),NOT(ISNUMBER(G324))),"Add units and revenue","OK")))))))</f>
        <v/>
      </c>
    </row>
    <row r="325">
      <c r="A325" s="17" t="n"/>
      <c r="B325" s="17" t="n"/>
      <c r="C325" s="17" t="n"/>
      <c r="D325" s="18" t="n"/>
      <c r="E325" s="18" t="n"/>
      <c r="F325" s="19" t="n"/>
      <c r="G325" s="20" t="n"/>
      <c r="H325" s="21">
        <f>IF(AND(ISNUMBER(D325),ISNUMBER(E325)),E325-D325+1,"")</f>
        <v/>
      </c>
      <c r="I325" s="22">
        <f>IF(AND(ISNUMBER(F325),N(F325)&gt;0,ISNUMBER(G325)),G325/F325,"")</f>
        <v/>
      </c>
      <c r="J325" s="21">
        <f>IF(OR(A325="",B325=""),"",IF(C325=Yr_Cur,"CY",IF(C325=Yr_Prev,"PY","")))</f>
        <v/>
      </c>
      <c r="K325" s="21">
        <f>IF(J325="","",IF(J325="CY",SUMIFS(Dat_H,Dat_A,A325,Dat_B,B325,Dat_C,Yr_Prev),SUMIFS(Dat_H,Dat_A,A325,Dat_B,B325,Dat_C,Yr_Cur)))</f>
        <v/>
      </c>
      <c r="L325" s="21">
        <f>IF(J325="",0,IF(AND(ISNUMBER(H325),N(K325)&gt;0,ISNUMBER(F325),ISNUMBER(G325),OR(Sel_Market="All markets",A325=Sel_Market),COUNTIFS(Control!$B$11:$B$13,B325,Control!$C$11:$C$13,"Yes")&gt;0),1,0))</f>
        <v/>
      </c>
      <c r="M325" s="21">
        <f>IF(L325=1,IF(J325="CY",H325,K325),"")</f>
        <v/>
      </c>
      <c r="N325" s="21">
        <f>IF(L325=1,IF(J325="PY",H325,K325),"")</f>
        <v/>
      </c>
      <c r="O325" s="23">
        <f>IF(L325=1,IF(J325="PY",F325*M325/N325,F325),0)</f>
        <v/>
      </c>
      <c r="P325" s="23">
        <f>IF(L325=1,IF(J325="PY",G325*M325/N325,G325),0)</f>
        <v/>
      </c>
      <c r="Q325" s="23">
        <f>IF(AND(L325=1,J325="PY"),F325*(N325-M325)/N325,0)</f>
        <v/>
      </c>
      <c r="R325" s="23">
        <f>IF(AND(L325=1,J325="PY"),G325*(N325-M325)/N325,0)</f>
        <v/>
      </c>
      <c r="S325" s="21">
        <f>IF(COUNTA(A325:G325)=0,"",IF(OR(A325="",B325="",NOT(ISNUMBER(C325))),"Fill market, product and year",IF(COUNTIF(Control!$B$11:$B$13,B325)=0,"Unknown product",IF(COUNTIFS(Dat_A,A325,Dat_B,B325,Dat_C,C325)&gt;1,"Duplicate market/product/year",IF(OR(NOT(ISNUMBER(D325)),NOT(ISNUMBER(E325))),"Add launch date and Data through date",IF(E325&lt;D325,"Data through is before launch",IF(OR(NOT(ISNUMBER(F325)),NOT(ISNUMBER(G325))),"Add units and revenue","OK")))))))</f>
        <v/>
      </c>
    </row>
    <row r="326">
      <c r="A326" s="17" t="n"/>
      <c r="B326" s="17" t="n"/>
      <c r="C326" s="17" t="n"/>
      <c r="D326" s="18" t="n"/>
      <c r="E326" s="18" t="n"/>
      <c r="F326" s="19" t="n"/>
      <c r="G326" s="20" t="n"/>
      <c r="H326" s="21">
        <f>IF(AND(ISNUMBER(D326),ISNUMBER(E326)),E326-D326+1,"")</f>
        <v/>
      </c>
      <c r="I326" s="22">
        <f>IF(AND(ISNUMBER(F326),N(F326)&gt;0,ISNUMBER(G326)),G326/F326,"")</f>
        <v/>
      </c>
      <c r="J326" s="21">
        <f>IF(OR(A326="",B326=""),"",IF(C326=Yr_Cur,"CY",IF(C326=Yr_Prev,"PY","")))</f>
        <v/>
      </c>
      <c r="K326" s="21">
        <f>IF(J326="","",IF(J326="CY",SUMIFS(Dat_H,Dat_A,A326,Dat_B,B326,Dat_C,Yr_Prev),SUMIFS(Dat_H,Dat_A,A326,Dat_B,B326,Dat_C,Yr_Cur)))</f>
        <v/>
      </c>
      <c r="L326" s="21">
        <f>IF(J326="",0,IF(AND(ISNUMBER(H326),N(K326)&gt;0,ISNUMBER(F326),ISNUMBER(G326),OR(Sel_Market="All markets",A326=Sel_Market),COUNTIFS(Control!$B$11:$B$13,B326,Control!$C$11:$C$13,"Yes")&gt;0),1,0))</f>
        <v/>
      </c>
      <c r="M326" s="21">
        <f>IF(L326=1,IF(J326="CY",H326,K326),"")</f>
        <v/>
      </c>
      <c r="N326" s="21">
        <f>IF(L326=1,IF(J326="PY",H326,K326),"")</f>
        <v/>
      </c>
      <c r="O326" s="23">
        <f>IF(L326=1,IF(J326="PY",F326*M326/N326,F326),0)</f>
        <v/>
      </c>
      <c r="P326" s="23">
        <f>IF(L326=1,IF(J326="PY",G326*M326/N326,G326),0)</f>
        <v/>
      </c>
      <c r="Q326" s="23">
        <f>IF(AND(L326=1,J326="PY"),F326*(N326-M326)/N326,0)</f>
        <v/>
      </c>
      <c r="R326" s="23">
        <f>IF(AND(L326=1,J326="PY"),G326*(N326-M326)/N326,0)</f>
        <v/>
      </c>
      <c r="S326" s="21">
        <f>IF(COUNTA(A326:G326)=0,"",IF(OR(A326="",B326="",NOT(ISNUMBER(C326))),"Fill market, product and year",IF(COUNTIF(Control!$B$11:$B$13,B326)=0,"Unknown product",IF(COUNTIFS(Dat_A,A326,Dat_B,B326,Dat_C,C326)&gt;1,"Duplicate market/product/year",IF(OR(NOT(ISNUMBER(D326)),NOT(ISNUMBER(E326))),"Add launch date and Data through date",IF(E326&lt;D326,"Data through is before launch",IF(OR(NOT(ISNUMBER(F326)),NOT(ISNUMBER(G326))),"Add units and revenue","OK")))))))</f>
        <v/>
      </c>
    </row>
    <row r="327">
      <c r="A327" s="17" t="n"/>
      <c r="B327" s="17" t="n"/>
      <c r="C327" s="17" t="n"/>
      <c r="D327" s="18" t="n"/>
      <c r="E327" s="18" t="n"/>
      <c r="F327" s="19" t="n"/>
      <c r="G327" s="20" t="n"/>
      <c r="H327" s="21">
        <f>IF(AND(ISNUMBER(D327),ISNUMBER(E327)),E327-D327+1,"")</f>
        <v/>
      </c>
      <c r="I327" s="22">
        <f>IF(AND(ISNUMBER(F327),N(F327)&gt;0,ISNUMBER(G327)),G327/F327,"")</f>
        <v/>
      </c>
      <c r="J327" s="21">
        <f>IF(OR(A327="",B327=""),"",IF(C327=Yr_Cur,"CY",IF(C327=Yr_Prev,"PY","")))</f>
        <v/>
      </c>
      <c r="K327" s="21">
        <f>IF(J327="","",IF(J327="CY",SUMIFS(Dat_H,Dat_A,A327,Dat_B,B327,Dat_C,Yr_Prev),SUMIFS(Dat_H,Dat_A,A327,Dat_B,B327,Dat_C,Yr_Cur)))</f>
        <v/>
      </c>
      <c r="L327" s="21">
        <f>IF(J327="",0,IF(AND(ISNUMBER(H327),N(K327)&gt;0,ISNUMBER(F327),ISNUMBER(G327),OR(Sel_Market="All markets",A327=Sel_Market),COUNTIFS(Control!$B$11:$B$13,B327,Control!$C$11:$C$13,"Yes")&gt;0),1,0))</f>
        <v/>
      </c>
      <c r="M327" s="21">
        <f>IF(L327=1,IF(J327="CY",H327,K327),"")</f>
        <v/>
      </c>
      <c r="N327" s="21">
        <f>IF(L327=1,IF(J327="PY",H327,K327),"")</f>
        <v/>
      </c>
      <c r="O327" s="23">
        <f>IF(L327=1,IF(J327="PY",F327*M327/N327,F327),0)</f>
        <v/>
      </c>
      <c r="P327" s="23">
        <f>IF(L327=1,IF(J327="PY",G327*M327/N327,G327),0)</f>
        <v/>
      </c>
      <c r="Q327" s="23">
        <f>IF(AND(L327=1,J327="PY"),F327*(N327-M327)/N327,0)</f>
        <v/>
      </c>
      <c r="R327" s="23">
        <f>IF(AND(L327=1,J327="PY"),G327*(N327-M327)/N327,0)</f>
        <v/>
      </c>
      <c r="S327" s="21">
        <f>IF(COUNTA(A327:G327)=0,"",IF(OR(A327="",B327="",NOT(ISNUMBER(C327))),"Fill market, product and year",IF(COUNTIF(Control!$B$11:$B$13,B327)=0,"Unknown product",IF(COUNTIFS(Dat_A,A327,Dat_B,B327,Dat_C,C327)&gt;1,"Duplicate market/product/year",IF(OR(NOT(ISNUMBER(D327)),NOT(ISNUMBER(E327))),"Add launch date and Data through date",IF(E327&lt;D327,"Data through is before launch",IF(OR(NOT(ISNUMBER(F327)),NOT(ISNUMBER(G327))),"Add units and revenue","OK")))))))</f>
        <v/>
      </c>
    </row>
    <row r="328">
      <c r="A328" s="17" t="n"/>
      <c r="B328" s="17" t="n"/>
      <c r="C328" s="17" t="n"/>
      <c r="D328" s="18" t="n"/>
      <c r="E328" s="18" t="n"/>
      <c r="F328" s="19" t="n"/>
      <c r="G328" s="20" t="n"/>
      <c r="H328" s="21">
        <f>IF(AND(ISNUMBER(D328),ISNUMBER(E328)),E328-D328+1,"")</f>
        <v/>
      </c>
      <c r="I328" s="22">
        <f>IF(AND(ISNUMBER(F328),N(F328)&gt;0,ISNUMBER(G328)),G328/F328,"")</f>
        <v/>
      </c>
      <c r="J328" s="21">
        <f>IF(OR(A328="",B328=""),"",IF(C328=Yr_Cur,"CY",IF(C328=Yr_Prev,"PY","")))</f>
        <v/>
      </c>
      <c r="K328" s="21">
        <f>IF(J328="","",IF(J328="CY",SUMIFS(Dat_H,Dat_A,A328,Dat_B,B328,Dat_C,Yr_Prev),SUMIFS(Dat_H,Dat_A,A328,Dat_B,B328,Dat_C,Yr_Cur)))</f>
        <v/>
      </c>
      <c r="L328" s="21">
        <f>IF(J328="",0,IF(AND(ISNUMBER(H328),N(K328)&gt;0,ISNUMBER(F328),ISNUMBER(G328),OR(Sel_Market="All markets",A328=Sel_Market),COUNTIFS(Control!$B$11:$B$13,B328,Control!$C$11:$C$13,"Yes")&gt;0),1,0))</f>
        <v/>
      </c>
      <c r="M328" s="21">
        <f>IF(L328=1,IF(J328="CY",H328,K328),"")</f>
        <v/>
      </c>
      <c r="N328" s="21">
        <f>IF(L328=1,IF(J328="PY",H328,K328),"")</f>
        <v/>
      </c>
      <c r="O328" s="23">
        <f>IF(L328=1,IF(J328="PY",F328*M328/N328,F328),0)</f>
        <v/>
      </c>
      <c r="P328" s="23">
        <f>IF(L328=1,IF(J328="PY",G328*M328/N328,G328),0)</f>
        <v/>
      </c>
      <c r="Q328" s="23">
        <f>IF(AND(L328=1,J328="PY"),F328*(N328-M328)/N328,0)</f>
        <v/>
      </c>
      <c r="R328" s="23">
        <f>IF(AND(L328=1,J328="PY"),G328*(N328-M328)/N328,0)</f>
        <v/>
      </c>
      <c r="S328" s="21">
        <f>IF(COUNTA(A328:G328)=0,"",IF(OR(A328="",B328="",NOT(ISNUMBER(C328))),"Fill market, product and year",IF(COUNTIF(Control!$B$11:$B$13,B328)=0,"Unknown product",IF(COUNTIFS(Dat_A,A328,Dat_B,B328,Dat_C,C328)&gt;1,"Duplicate market/product/year",IF(OR(NOT(ISNUMBER(D328)),NOT(ISNUMBER(E328))),"Add launch date and Data through date",IF(E328&lt;D328,"Data through is before launch",IF(OR(NOT(ISNUMBER(F328)),NOT(ISNUMBER(G328))),"Add units and revenue","OK")))))))</f>
        <v/>
      </c>
    </row>
    <row r="329">
      <c r="A329" s="17" t="n"/>
      <c r="B329" s="17" t="n"/>
      <c r="C329" s="17" t="n"/>
      <c r="D329" s="18" t="n"/>
      <c r="E329" s="18" t="n"/>
      <c r="F329" s="19" t="n"/>
      <c r="G329" s="20" t="n"/>
      <c r="H329" s="21">
        <f>IF(AND(ISNUMBER(D329),ISNUMBER(E329)),E329-D329+1,"")</f>
        <v/>
      </c>
      <c r="I329" s="22">
        <f>IF(AND(ISNUMBER(F329),N(F329)&gt;0,ISNUMBER(G329)),G329/F329,"")</f>
        <v/>
      </c>
      <c r="J329" s="21">
        <f>IF(OR(A329="",B329=""),"",IF(C329=Yr_Cur,"CY",IF(C329=Yr_Prev,"PY","")))</f>
        <v/>
      </c>
      <c r="K329" s="21">
        <f>IF(J329="","",IF(J329="CY",SUMIFS(Dat_H,Dat_A,A329,Dat_B,B329,Dat_C,Yr_Prev),SUMIFS(Dat_H,Dat_A,A329,Dat_B,B329,Dat_C,Yr_Cur)))</f>
        <v/>
      </c>
      <c r="L329" s="21">
        <f>IF(J329="",0,IF(AND(ISNUMBER(H329),N(K329)&gt;0,ISNUMBER(F329),ISNUMBER(G329),OR(Sel_Market="All markets",A329=Sel_Market),COUNTIFS(Control!$B$11:$B$13,B329,Control!$C$11:$C$13,"Yes")&gt;0),1,0))</f>
        <v/>
      </c>
      <c r="M329" s="21">
        <f>IF(L329=1,IF(J329="CY",H329,K329),"")</f>
        <v/>
      </c>
      <c r="N329" s="21">
        <f>IF(L329=1,IF(J329="PY",H329,K329),"")</f>
        <v/>
      </c>
      <c r="O329" s="23">
        <f>IF(L329=1,IF(J329="PY",F329*M329/N329,F329),0)</f>
        <v/>
      </c>
      <c r="P329" s="23">
        <f>IF(L329=1,IF(J329="PY",G329*M329/N329,G329),0)</f>
        <v/>
      </c>
      <c r="Q329" s="23">
        <f>IF(AND(L329=1,J329="PY"),F329*(N329-M329)/N329,0)</f>
        <v/>
      </c>
      <c r="R329" s="23">
        <f>IF(AND(L329=1,J329="PY"),G329*(N329-M329)/N329,0)</f>
        <v/>
      </c>
      <c r="S329" s="21">
        <f>IF(COUNTA(A329:G329)=0,"",IF(OR(A329="",B329="",NOT(ISNUMBER(C329))),"Fill market, product and year",IF(COUNTIF(Control!$B$11:$B$13,B329)=0,"Unknown product",IF(COUNTIFS(Dat_A,A329,Dat_B,B329,Dat_C,C329)&gt;1,"Duplicate market/product/year",IF(OR(NOT(ISNUMBER(D329)),NOT(ISNUMBER(E329))),"Add launch date and Data through date",IF(E329&lt;D329,"Data through is before launch",IF(OR(NOT(ISNUMBER(F329)),NOT(ISNUMBER(G329))),"Add units and revenue","OK")))))))</f>
        <v/>
      </c>
    </row>
    <row r="330">
      <c r="A330" s="17" t="n"/>
      <c r="B330" s="17" t="n"/>
      <c r="C330" s="17" t="n"/>
      <c r="D330" s="18" t="n"/>
      <c r="E330" s="18" t="n"/>
      <c r="F330" s="19" t="n"/>
      <c r="G330" s="20" t="n"/>
      <c r="H330" s="21">
        <f>IF(AND(ISNUMBER(D330),ISNUMBER(E330)),E330-D330+1,"")</f>
        <v/>
      </c>
      <c r="I330" s="22">
        <f>IF(AND(ISNUMBER(F330),N(F330)&gt;0,ISNUMBER(G330)),G330/F330,"")</f>
        <v/>
      </c>
      <c r="J330" s="21">
        <f>IF(OR(A330="",B330=""),"",IF(C330=Yr_Cur,"CY",IF(C330=Yr_Prev,"PY","")))</f>
        <v/>
      </c>
      <c r="K330" s="21">
        <f>IF(J330="","",IF(J330="CY",SUMIFS(Dat_H,Dat_A,A330,Dat_B,B330,Dat_C,Yr_Prev),SUMIFS(Dat_H,Dat_A,A330,Dat_B,B330,Dat_C,Yr_Cur)))</f>
        <v/>
      </c>
      <c r="L330" s="21">
        <f>IF(J330="",0,IF(AND(ISNUMBER(H330),N(K330)&gt;0,ISNUMBER(F330),ISNUMBER(G330),OR(Sel_Market="All markets",A330=Sel_Market),COUNTIFS(Control!$B$11:$B$13,B330,Control!$C$11:$C$13,"Yes")&gt;0),1,0))</f>
        <v/>
      </c>
      <c r="M330" s="21">
        <f>IF(L330=1,IF(J330="CY",H330,K330),"")</f>
        <v/>
      </c>
      <c r="N330" s="21">
        <f>IF(L330=1,IF(J330="PY",H330,K330),"")</f>
        <v/>
      </c>
      <c r="O330" s="23">
        <f>IF(L330=1,IF(J330="PY",F330*M330/N330,F330),0)</f>
        <v/>
      </c>
      <c r="P330" s="23">
        <f>IF(L330=1,IF(J330="PY",G330*M330/N330,G330),0)</f>
        <v/>
      </c>
      <c r="Q330" s="23">
        <f>IF(AND(L330=1,J330="PY"),F330*(N330-M330)/N330,0)</f>
        <v/>
      </c>
      <c r="R330" s="23">
        <f>IF(AND(L330=1,J330="PY"),G330*(N330-M330)/N330,0)</f>
        <v/>
      </c>
      <c r="S330" s="21">
        <f>IF(COUNTA(A330:G330)=0,"",IF(OR(A330="",B330="",NOT(ISNUMBER(C330))),"Fill market, product and year",IF(COUNTIF(Control!$B$11:$B$13,B330)=0,"Unknown product",IF(COUNTIFS(Dat_A,A330,Dat_B,B330,Dat_C,C330)&gt;1,"Duplicate market/product/year",IF(OR(NOT(ISNUMBER(D330)),NOT(ISNUMBER(E330))),"Add launch date and Data through date",IF(E330&lt;D330,"Data through is before launch",IF(OR(NOT(ISNUMBER(F330)),NOT(ISNUMBER(G330))),"Add units and revenue","OK")))))))</f>
        <v/>
      </c>
    </row>
    <row r="331">
      <c r="A331" s="17" t="n"/>
      <c r="B331" s="17" t="n"/>
      <c r="C331" s="17" t="n"/>
      <c r="D331" s="18" t="n"/>
      <c r="E331" s="18" t="n"/>
      <c r="F331" s="19" t="n"/>
      <c r="G331" s="20" t="n"/>
      <c r="H331" s="21">
        <f>IF(AND(ISNUMBER(D331),ISNUMBER(E331)),E331-D331+1,"")</f>
        <v/>
      </c>
      <c r="I331" s="22">
        <f>IF(AND(ISNUMBER(F331),N(F331)&gt;0,ISNUMBER(G331)),G331/F331,"")</f>
        <v/>
      </c>
      <c r="J331" s="21">
        <f>IF(OR(A331="",B331=""),"",IF(C331=Yr_Cur,"CY",IF(C331=Yr_Prev,"PY","")))</f>
        <v/>
      </c>
      <c r="K331" s="21">
        <f>IF(J331="","",IF(J331="CY",SUMIFS(Dat_H,Dat_A,A331,Dat_B,B331,Dat_C,Yr_Prev),SUMIFS(Dat_H,Dat_A,A331,Dat_B,B331,Dat_C,Yr_Cur)))</f>
        <v/>
      </c>
      <c r="L331" s="21">
        <f>IF(J331="",0,IF(AND(ISNUMBER(H331),N(K331)&gt;0,ISNUMBER(F331),ISNUMBER(G331),OR(Sel_Market="All markets",A331=Sel_Market),COUNTIFS(Control!$B$11:$B$13,B331,Control!$C$11:$C$13,"Yes")&gt;0),1,0))</f>
        <v/>
      </c>
      <c r="M331" s="21">
        <f>IF(L331=1,IF(J331="CY",H331,K331),"")</f>
        <v/>
      </c>
      <c r="N331" s="21">
        <f>IF(L331=1,IF(J331="PY",H331,K331),"")</f>
        <v/>
      </c>
      <c r="O331" s="23">
        <f>IF(L331=1,IF(J331="PY",F331*M331/N331,F331),0)</f>
        <v/>
      </c>
      <c r="P331" s="23">
        <f>IF(L331=1,IF(J331="PY",G331*M331/N331,G331),0)</f>
        <v/>
      </c>
      <c r="Q331" s="23">
        <f>IF(AND(L331=1,J331="PY"),F331*(N331-M331)/N331,0)</f>
        <v/>
      </c>
      <c r="R331" s="23">
        <f>IF(AND(L331=1,J331="PY"),G331*(N331-M331)/N331,0)</f>
        <v/>
      </c>
      <c r="S331" s="21">
        <f>IF(COUNTA(A331:G331)=0,"",IF(OR(A331="",B331="",NOT(ISNUMBER(C331))),"Fill market, product and year",IF(COUNTIF(Control!$B$11:$B$13,B331)=0,"Unknown product",IF(COUNTIFS(Dat_A,A331,Dat_B,B331,Dat_C,C331)&gt;1,"Duplicate market/product/year",IF(OR(NOT(ISNUMBER(D331)),NOT(ISNUMBER(E331))),"Add launch date and Data through date",IF(E331&lt;D331,"Data through is before launch",IF(OR(NOT(ISNUMBER(F331)),NOT(ISNUMBER(G331))),"Add units and revenue","OK")))))))</f>
        <v/>
      </c>
    </row>
    <row r="332">
      <c r="A332" s="17" t="n"/>
      <c r="B332" s="17" t="n"/>
      <c r="C332" s="17" t="n"/>
      <c r="D332" s="18" t="n"/>
      <c r="E332" s="18" t="n"/>
      <c r="F332" s="19" t="n"/>
      <c r="G332" s="20" t="n"/>
      <c r="H332" s="21">
        <f>IF(AND(ISNUMBER(D332),ISNUMBER(E332)),E332-D332+1,"")</f>
        <v/>
      </c>
      <c r="I332" s="22">
        <f>IF(AND(ISNUMBER(F332),N(F332)&gt;0,ISNUMBER(G332)),G332/F332,"")</f>
        <v/>
      </c>
      <c r="J332" s="21">
        <f>IF(OR(A332="",B332=""),"",IF(C332=Yr_Cur,"CY",IF(C332=Yr_Prev,"PY","")))</f>
        <v/>
      </c>
      <c r="K332" s="21">
        <f>IF(J332="","",IF(J332="CY",SUMIFS(Dat_H,Dat_A,A332,Dat_B,B332,Dat_C,Yr_Prev),SUMIFS(Dat_H,Dat_A,A332,Dat_B,B332,Dat_C,Yr_Cur)))</f>
        <v/>
      </c>
      <c r="L332" s="21">
        <f>IF(J332="",0,IF(AND(ISNUMBER(H332),N(K332)&gt;0,ISNUMBER(F332),ISNUMBER(G332),OR(Sel_Market="All markets",A332=Sel_Market),COUNTIFS(Control!$B$11:$B$13,B332,Control!$C$11:$C$13,"Yes")&gt;0),1,0))</f>
        <v/>
      </c>
      <c r="M332" s="21">
        <f>IF(L332=1,IF(J332="CY",H332,K332),"")</f>
        <v/>
      </c>
      <c r="N332" s="21">
        <f>IF(L332=1,IF(J332="PY",H332,K332),"")</f>
        <v/>
      </c>
      <c r="O332" s="23">
        <f>IF(L332=1,IF(J332="PY",F332*M332/N332,F332),0)</f>
        <v/>
      </c>
      <c r="P332" s="23">
        <f>IF(L332=1,IF(J332="PY",G332*M332/N332,G332),0)</f>
        <v/>
      </c>
      <c r="Q332" s="23">
        <f>IF(AND(L332=1,J332="PY"),F332*(N332-M332)/N332,0)</f>
        <v/>
      </c>
      <c r="R332" s="23">
        <f>IF(AND(L332=1,J332="PY"),G332*(N332-M332)/N332,0)</f>
        <v/>
      </c>
      <c r="S332" s="21">
        <f>IF(COUNTA(A332:G332)=0,"",IF(OR(A332="",B332="",NOT(ISNUMBER(C332))),"Fill market, product and year",IF(COUNTIF(Control!$B$11:$B$13,B332)=0,"Unknown product",IF(COUNTIFS(Dat_A,A332,Dat_B,B332,Dat_C,C332)&gt;1,"Duplicate market/product/year",IF(OR(NOT(ISNUMBER(D332)),NOT(ISNUMBER(E332))),"Add launch date and Data through date",IF(E332&lt;D332,"Data through is before launch",IF(OR(NOT(ISNUMBER(F332)),NOT(ISNUMBER(G332))),"Add units and revenue","OK")))))))</f>
        <v/>
      </c>
    </row>
    <row r="333">
      <c r="A333" s="17" t="n"/>
      <c r="B333" s="17" t="n"/>
      <c r="C333" s="17" t="n"/>
      <c r="D333" s="18" t="n"/>
      <c r="E333" s="18" t="n"/>
      <c r="F333" s="19" t="n"/>
      <c r="G333" s="20" t="n"/>
      <c r="H333" s="21">
        <f>IF(AND(ISNUMBER(D333),ISNUMBER(E333)),E333-D333+1,"")</f>
        <v/>
      </c>
      <c r="I333" s="22">
        <f>IF(AND(ISNUMBER(F333),N(F333)&gt;0,ISNUMBER(G333)),G333/F333,"")</f>
        <v/>
      </c>
      <c r="J333" s="21">
        <f>IF(OR(A333="",B333=""),"",IF(C333=Yr_Cur,"CY",IF(C333=Yr_Prev,"PY","")))</f>
        <v/>
      </c>
      <c r="K333" s="21">
        <f>IF(J333="","",IF(J333="CY",SUMIFS(Dat_H,Dat_A,A333,Dat_B,B333,Dat_C,Yr_Prev),SUMIFS(Dat_H,Dat_A,A333,Dat_B,B333,Dat_C,Yr_Cur)))</f>
        <v/>
      </c>
      <c r="L333" s="21">
        <f>IF(J333="",0,IF(AND(ISNUMBER(H333),N(K333)&gt;0,ISNUMBER(F333),ISNUMBER(G333),OR(Sel_Market="All markets",A333=Sel_Market),COUNTIFS(Control!$B$11:$B$13,B333,Control!$C$11:$C$13,"Yes")&gt;0),1,0))</f>
        <v/>
      </c>
      <c r="M333" s="21">
        <f>IF(L333=1,IF(J333="CY",H333,K333),"")</f>
        <v/>
      </c>
      <c r="N333" s="21">
        <f>IF(L333=1,IF(J333="PY",H333,K333),"")</f>
        <v/>
      </c>
      <c r="O333" s="23">
        <f>IF(L333=1,IF(J333="PY",F333*M333/N333,F333),0)</f>
        <v/>
      </c>
      <c r="P333" s="23">
        <f>IF(L333=1,IF(J333="PY",G333*M333/N333,G333),0)</f>
        <v/>
      </c>
      <c r="Q333" s="23">
        <f>IF(AND(L333=1,J333="PY"),F333*(N333-M333)/N333,0)</f>
        <v/>
      </c>
      <c r="R333" s="23">
        <f>IF(AND(L333=1,J333="PY"),G333*(N333-M333)/N333,0)</f>
        <v/>
      </c>
      <c r="S333" s="21">
        <f>IF(COUNTA(A333:G333)=0,"",IF(OR(A333="",B333="",NOT(ISNUMBER(C333))),"Fill market, product and year",IF(COUNTIF(Control!$B$11:$B$13,B333)=0,"Unknown product",IF(COUNTIFS(Dat_A,A333,Dat_B,B333,Dat_C,C333)&gt;1,"Duplicate market/product/year",IF(OR(NOT(ISNUMBER(D333)),NOT(ISNUMBER(E333))),"Add launch date and Data through date",IF(E333&lt;D333,"Data through is before launch",IF(OR(NOT(ISNUMBER(F333)),NOT(ISNUMBER(G333))),"Add units and revenue","OK")))))))</f>
        <v/>
      </c>
    </row>
    <row r="334">
      <c r="A334" s="17" t="n"/>
      <c r="B334" s="17" t="n"/>
      <c r="C334" s="17" t="n"/>
      <c r="D334" s="18" t="n"/>
      <c r="E334" s="18" t="n"/>
      <c r="F334" s="19" t="n"/>
      <c r="G334" s="20" t="n"/>
      <c r="H334" s="21">
        <f>IF(AND(ISNUMBER(D334),ISNUMBER(E334)),E334-D334+1,"")</f>
        <v/>
      </c>
      <c r="I334" s="22">
        <f>IF(AND(ISNUMBER(F334),N(F334)&gt;0,ISNUMBER(G334)),G334/F334,"")</f>
        <v/>
      </c>
      <c r="J334" s="21">
        <f>IF(OR(A334="",B334=""),"",IF(C334=Yr_Cur,"CY",IF(C334=Yr_Prev,"PY","")))</f>
        <v/>
      </c>
      <c r="K334" s="21">
        <f>IF(J334="","",IF(J334="CY",SUMIFS(Dat_H,Dat_A,A334,Dat_B,B334,Dat_C,Yr_Prev),SUMIFS(Dat_H,Dat_A,A334,Dat_B,B334,Dat_C,Yr_Cur)))</f>
        <v/>
      </c>
      <c r="L334" s="21">
        <f>IF(J334="",0,IF(AND(ISNUMBER(H334),N(K334)&gt;0,ISNUMBER(F334),ISNUMBER(G334),OR(Sel_Market="All markets",A334=Sel_Market),COUNTIFS(Control!$B$11:$B$13,B334,Control!$C$11:$C$13,"Yes")&gt;0),1,0))</f>
        <v/>
      </c>
      <c r="M334" s="21">
        <f>IF(L334=1,IF(J334="CY",H334,K334),"")</f>
        <v/>
      </c>
      <c r="N334" s="21">
        <f>IF(L334=1,IF(J334="PY",H334,K334),"")</f>
        <v/>
      </c>
      <c r="O334" s="23">
        <f>IF(L334=1,IF(J334="PY",F334*M334/N334,F334),0)</f>
        <v/>
      </c>
      <c r="P334" s="23">
        <f>IF(L334=1,IF(J334="PY",G334*M334/N334,G334),0)</f>
        <v/>
      </c>
      <c r="Q334" s="23">
        <f>IF(AND(L334=1,J334="PY"),F334*(N334-M334)/N334,0)</f>
        <v/>
      </c>
      <c r="R334" s="23">
        <f>IF(AND(L334=1,J334="PY"),G334*(N334-M334)/N334,0)</f>
        <v/>
      </c>
      <c r="S334" s="21">
        <f>IF(COUNTA(A334:G334)=0,"",IF(OR(A334="",B334="",NOT(ISNUMBER(C334))),"Fill market, product and year",IF(COUNTIF(Control!$B$11:$B$13,B334)=0,"Unknown product",IF(COUNTIFS(Dat_A,A334,Dat_B,B334,Dat_C,C334)&gt;1,"Duplicate market/product/year",IF(OR(NOT(ISNUMBER(D334)),NOT(ISNUMBER(E334))),"Add launch date and Data through date",IF(E334&lt;D334,"Data through is before launch",IF(OR(NOT(ISNUMBER(F334)),NOT(ISNUMBER(G334))),"Add units and revenue","OK")))))))</f>
        <v/>
      </c>
    </row>
    <row r="335">
      <c r="A335" s="17" t="n"/>
      <c r="B335" s="17" t="n"/>
      <c r="C335" s="17" t="n"/>
      <c r="D335" s="18" t="n"/>
      <c r="E335" s="18" t="n"/>
      <c r="F335" s="19" t="n"/>
      <c r="G335" s="20" t="n"/>
      <c r="H335" s="21">
        <f>IF(AND(ISNUMBER(D335),ISNUMBER(E335)),E335-D335+1,"")</f>
        <v/>
      </c>
      <c r="I335" s="22">
        <f>IF(AND(ISNUMBER(F335),N(F335)&gt;0,ISNUMBER(G335)),G335/F335,"")</f>
        <v/>
      </c>
      <c r="J335" s="21">
        <f>IF(OR(A335="",B335=""),"",IF(C335=Yr_Cur,"CY",IF(C335=Yr_Prev,"PY","")))</f>
        <v/>
      </c>
      <c r="K335" s="21">
        <f>IF(J335="","",IF(J335="CY",SUMIFS(Dat_H,Dat_A,A335,Dat_B,B335,Dat_C,Yr_Prev),SUMIFS(Dat_H,Dat_A,A335,Dat_B,B335,Dat_C,Yr_Cur)))</f>
        <v/>
      </c>
      <c r="L335" s="21">
        <f>IF(J335="",0,IF(AND(ISNUMBER(H335),N(K335)&gt;0,ISNUMBER(F335),ISNUMBER(G335),OR(Sel_Market="All markets",A335=Sel_Market),COUNTIFS(Control!$B$11:$B$13,B335,Control!$C$11:$C$13,"Yes")&gt;0),1,0))</f>
        <v/>
      </c>
      <c r="M335" s="21">
        <f>IF(L335=1,IF(J335="CY",H335,K335),"")</f>
        <v/>
      </c>
      <c r="N335" s="21">
        <f>IF(L335=1,IF(J335="PY",H335,K335),"")</f>
        <v/>
      </c>
      <c r="O335" s="23">
        <f>IF(L335=1,IF(J335="PY",F335*M335/N335,F335),0)</f>
        <v/>
      </c>
      <c r="P335" s="23">
        <f>IF(L335=1,IF(J335="PY",G335*M335/N335,G335),0)</f>
        <v/>
      </c>
      <c r="Q335" s="23">
        <f>IF(AND(L335=1,J335="PY"),F335*(N335-M335)/N335,0)</f>
        <v/>
      </c>
      <c r="R335" s="23">
        <f>IF(AND(L335=1,J335="PY"),G335*(N335-M335)/N335,0)</f>
        <v/>
      </c>
      <c r="S335" s="21">
        <f>IF(COUNTA(A335:G335)=0,"",IF(OR(A335="",B335="",NOT(ISNUMBER(C335))),"Fill market, product and year",IF(COUNTIF(Control!$B$11:$B$13,B335)=0,"Unknown product",IF(COUNTIFS(Dat_A,A335,Dat_B,B335,Dat_C,C335)&gt;1,"Duplicate market/product/year",IF(OR(NOT(ISNUMBER(D335)),NOT(ISNUMBER(E335))),"Add launch date and Data through date",IF(E335&lt;D335,"Data through is before launch",IF(OR(NOT(ISNUMBER(F335)),NOT(ISNUMBER(G335))),"Add units and revenue","OK")))))))</f>
        <v/>
      </c>
    </row>
    <row r="336">
      <c r="A336" s="17" t="n"/>
      <c r="B336" s="17" t="n"/>
      <c r="C336" s="17" t="n"/>
      <c r="D336" s="18" t="n"/>
      <c r="E336" s="18" t="n"/>
      <c r="F336" s="19" t="n"/>
      <c r="G336" s="20" t="n"/>
      <c r="H336" s="21">
        <f>IF(AND(ISNUMBER(D336),ISNUMBER(E336)),E336-D336+1,"")</f>
        <v/>
      </c>
      <c r="I336" s="22">
        <f>IF(AND(ISNUMBER(F336),N(F336)&gt;0,ISNUMBER(G336)),G336/F336,"")</f>
        <v/>
      </c>
      <c r="J336" s="21">
        <f>IF(OR(A336="",B336=""),"",IF(C336=Yr_Cur,"CY",IF(C336=Yr_Prev,"PY","")))</f>
        <v/>
      </c>
      <c r="K336" s="21">
        <f>IF(J336="","",IF(J336="CY",SUMIFS(Dat_H,Dat_A,A336,Dat_B,B336,Dat_C,Yr_Prev),SUMIFS(Dat_H,Dat_A,A336,Dat_B,B336,Dat_C,Yr_Cur)))</f>
        <v/>
      </c>
      <c r="L336" s="21">
        <f>IF(J336="",0,IF(AND(ISNUMBER(H336),N(K336)&gt;0,ISNUMBER(F336),ISNUMBER(G336),OR(Sel_Market="All markets",A336=Sel_Market),COUNTIFS(Control!$B$11:$B$13,B336,Control!$C$11:$C$13,"Yes")&gt;0),1,0))</f>
        <v/>
      </c>
      <c r="M336" s="21">
        <f>IF(L336=1,IF(J336="CY",H336,K336),"")</f>
        <v/>
      </c>
      <c r="N336" s="21">
        <f>IF(L336=1,IF(J336="PY",H336,K336),"")</f>
        <v/>
      </c>
      <c r="O336" s="23">
        <f>IF(L336=1,IF(J336="PY",F336*M336/N336,F336),0)</f>
        <v/>
      </c>
      <c r="P336" s="23">
        <f>IF(L336=1,IF(J336="PY",G336*M336/N336,G336),0)</f>
        <v/>
      </c>
      <c r="Q336" s="23">
        <f>IF(AND(L336=1,J336="PY"),F336*(N336-M336)/N336,0)</f>
        <v/>
      </c>
      <c r="R336" s="23">
        <f>IF(AND(L336=1,J336="PY"),G336*(N336-M336)/N336,0)</f>
        <v/>
      </c>
      <c r="S336" s="21">
        <f>IF(COUNTA(A336:G336)=0,"",IF(OR(A336="",B336="",NOT(ISNUMBER(C336))),"Fill market, product and year",IF(COUNTIF(Control!$B$11:$B$13,B336)=0,"Unknown product",IF(COUNTIFS(Dat_A,A336,Dat_B,B336,Dat_C,C336)&gt;1,"Duplicate market/product/year",IF(OR(NOT(ISNUMBER(D336)),NOT(ISNUMBER(E336))),"Add launch date and Data through date",IF(E336&lt;D336,"Data through is before launch",IF(OR(NOT(ISNUMBER(F336)),NOT(ISNUMBER(G336))),"Add units and revenue","OK")))))))</f>
        <v/>
      </c>
    </row>
    <row r="337">
      <c r="A337" s="17" t="n"/>
      <c r="B337" s="17" t="n"/>
      <c r="C337" s="17" t="n"/>
      <c r="D337" s="18" t="n"/>
      <c r="E337" s="18" t="n"/>
      <c r="F337" s="19" t="n"/>
      <c r="G337" s="20" t="n"/>
      <c r="H337" s="21">
        <f>IF(AND(ISNUMBER(D337),ISNUMBER(E337)),E337-D337+1,"")</f>
        <v/>
      </c>
      <c r="I337" s="22">
        <f>IF(AND(ISNUMBER(F337),N(F337)&gt;0,ISNUMBER(G337)),G337/F337,"")</f>
        <v/>
      </c>
      <c r="J337" s="21">
        <f>IF(OR(A337="",B337=""),"",IF(C337=Yr_Cur,"CY",IF(C337=Yr_Prev,"PY","")))</f>
        <v/>
      </c>
      <c r="K337" s="21">
        <f>IF(J337="","",IF(J337="CY",SUMIFS(Dat_H,Dat_A,A337,Dat_B,B337,Dat_C,Yr_Prev),SUMIFS(Dat_H,Dat_A,A337,Dat_B,B337,Dat_C,Yr_Cur)))</f>
        <v/>
      </c>
      <c r="L337" s="21">
        <f>IF(J337="",0,IF(AND(ISNUMBER(H337),N(K337)&gt;0,ISNUMBER(F337),ISNUMBER(G337),OR(Sel_Market="All markets",A337=Sel_Market),COUNTIFS(Control!$B$11:$B$13,B337,Control!$C$11:$C$13,"Yes")&gt;0),1,0))</f>
        <v/>
      </c>
      <c r="M337" s="21">
        <f>IF(L337=1,IF(J337="CY",H337,K337),"")</f>
        <v/>
      </c>
      <c r="N337" s="21">
        <f>IF(L337=1,IF(J337="PY",H337,K337),"")</f>
        <v/>
      </c>
      <c r="O337" s="23">
        <f>IF(L337=1,IF(J337="PY",F337*M337/N337,F337),0)</f>
        <v/>
      </c>
      <c r="P337" s="23">
        <f>IF(L337=1,IF(J337="PY",G337*M337/N337,G337),0)</f>
        <v/>
      </c>
      <c r="Q337" s="23">
        <f>IF(AND(L337=1,J337="PY"),F337*(N337-M337)/N337,0)</f>
        <v/>
      </c>
      <c r="R337" s="23">
        <f>IF(AND(L337=1,J337="PY"),G337*(N337-M337)/N337,0)</f>
        <v/>
      </c>
      <c r="S337" s="21">
        <f>IF(COUNTA(A337:G337)=0,"",IF(OR(A337="",B337="",NOT(ISNUMBER(C337))),"Fill market, product and year",IF(COUNTIF(Control!$B$11:$B$13,B337)=0,"Unknown product",IF(COUNTIFS(Dat_A,A337,Dat_B,B337,Dat_C,C337)&gt;1,"Duplicate market/product/year",IF(OR(NOT(ISNUMBER(D337)),NOT(ISNUMBER(E337))),"Add launch date and Data through date",IF(E337&lt;D337,"Data through is before launch",IF(OR(NOT(ISNUMBER(F337)),NOT(ISNUMBER(G337))),"Add units and revenue","OK")))))))</f>
        <v/>
      </c>
    </row>
    <row r="338">
      <c r="A338" s="17" t="n"/>
      <c r="B338" s="17" t="n"/>
      <c r="C338" s="17" t="n"/>
      <c r="D338" s="18" t="n"/>
      <c r="E338" s="18" t="n"/>
      <c r="F338" s="19" t="n"/>
      <c r="G338" s="20" t="n"/>
      <c r="H338" s="21">
        <f>IF(AND(ISNUMBER(D338),ISNUMBER(E338)),E338-D338+1,"")</f>
        <v/>
      </c>
      <c r="I338" s="22">
        <f>IF(AND(ISNUMBER(F338),N(F338)&gt;0,ISNUMBER(G338)),G338/F338,"")</f>
        <v/>
      </c>
      <c r="J338" s="21">
        <f>IF(OR(A338="",B338=""),"",IF(C338=Yr_Cur,"CY",IF(C338=Yr_Prev,"PY","")))</f>
        <v/>
      </c>
      <c r="K338" s="21">
        <f>IF(J338="","",IF(J338="CY",SUMIFS(Dat_H,Dat_A,A338,Dat_B,B338,Dat_C,Yr_Prev),SUMIFS(Dat_H,Dat_A,A338,Dat_B,B338,Dat_C,Yr_Cur)))</f>
        <v/>
      </c>
      <c r="L338" s="21">
        <f>IF(J338="",0,IF(AND(ISNUMBER(H338),N(K338)&gt;0,ISNUMBER(F338),ISNUMBER(G338),OR(Sel_Market="All markets",A338=Sel_Market),COUNTIFS(Control!$B$11:$B$13,B338,Control!$C$11:$C$13,"Yes")&gt;0),1,0))</f>
        <v/>
      </c>
      <c r="M338" s="21">
        <f>IF(L338=1,IF(J338="CY",H338,K338),"")</f>
        <v/>
      </c>
      <c r="N338" s="21">
        <f>IF(L338=1,IF(J338="PY",H338,K338),"")</f>
        <v/>
      </c>
      <c r="O338" s="23">
        <f>IF(L338=1,IF(J338="PY",F338*M338/N338,F338),0)</f>
        <v/>
      </c>
      <c r="P338" s="23">
        <f>IF(L338=1,IF(J338="PY",G338*M338/N338,G338),0)</f>
        <v/>
      </c>
      <c r="Q338" s="23">
        <f>IF(AND(L338=1,J338="PY"),F338*(N338-M338)/N338,0)</f>
        <v/>
      </c>
      <c r="R338" s="23">
        <f>IF(AND(L338=1,J338="PY"),G338*(N338-M338)/N338,0)</f>
        <v/>
      </c>
      <c r="S338" s="21">
        <f>IF(COUNTA(A338:G338)=0,"",IF(OR(A338="",B338="",NOT(ISNUMBER(C338))),"Fill market, product and year",IF(COUNTIF(Control!$B$11:$B$13,B338)=0,"Unknown product",IF(COUNTIFS(Dat_A,A338,Dat_B,B338,Dat_C,C338)&gt;1,"Duplicate market/product/year",IF(OR(NOT(ISNUMBER(D338)),NOT(ISNUMBER(E338))),"Add launch date and Data through date",IF(E338&lt;D338,"Data through is before launch",IF(OR(NOT(ISNUMBER(F338)),NOT(ISNUMBER(G338))),"Add units and revenue","OK")))))))</f>
        <v/>
      </c>
    </row>
    <row r="339">
      <c r="A339" s="17" t="n"/>
      <c r="B339" s="17" t="n"/>
      <c r="C339" s="17" t="n"/>
      <c r="D339" s="18" t="n"/>
      <c r="E339" s="18" t="n"/>
      <c r="F339" s="19" t="n"/>
      <c r="G339" s="20" t="n"/>
      <c r="H339" s="21">
        <f>IF(AND(ISNUMBER(D339),ISNUMBER(E339)),E339-D339+1,"")</f>
        <v/>
      </c>
      <c r="I339" s="22">
        <f>IF(AND(ISNUMBER(F339),N(F339)&gt;0,ISNUMBER(G339)),G339/F339,"")</f>
        <v/>
      </c>
      <c r="J339" s="21">
        <f>IF(OR(A339="",B339=""),"",IF(C339=Yr_Cur,"CY",IF(C339=Yr_Prev,"PY","")))</f>
        <v/>
      </c>
      <c r="K339" s="21">
        <f>IF(J339="","",IF(J339="CY",SUMIFS(Dat_H,Dat_A,A339,Dat_B,B339,Dat_C,Yr_Prev),SUMIFS(Dat_H,Dat_A,A339,Dat_B,B339,Dat_C,Yr_Cur)))</f>
        <v/>
      </c>
      <c r="L339" s="21">
        <f>IF(J339="",0,IF(AND(ISNUMBER(H339),N(K339)&gt;0,ISNUMBER(F339),ISNUMBER(G339),OR(Sel_Market="All markets",A339=Sel_Market),COUNTIFS(Control!$B$11:$B$13,B339,Control!$C$11:$C$13,"Yes")&gt;0),1,0))</f>
        <v/>
      </c>
      <c r="M339" s="21">
        <f>IF(L339=1,IF(J339="CY",H339,K339),"")</f>
        <v/>
      </c>
      <c r="N339" s="21">
        <f>IF(L339=1,IF(J339="PY",H339,K339),"")</f>
        <v/>
      </c>
      <c r="O339" s="23">
        <f>IF(L339=1,IF(J339="PY",F339*M339/N339,F339),0)</f>
        <v/>
      </c>
      <c r="P339" s="23">
        <f>IF(L339=1,IF(J339="PY",G339*M339/N339,G339),0)</f>
        <v/>
      </c>
      <c r="Q339" s="23">
        <f>IF(AND(L339=1,J339="PY"),F339*(N339-M339)/N339,0)</f>
        <v/>
      </c>
      <c r="R339" s="23">
        <f>IF(AND(L339=1,J339="PY"),G339*(N339-M339)/N339,0)</f>
        <v/>
      </c>
      <c r="S339" s="21">
        <f>IF(COUNTA(A339:G339)=0,"",IF(OR(A339="",B339="",NOT(ISNUMBER(C339))),"Fill market, product and year",IF(COUNTIF(Control!$B$11:$B$13,B339)=0,"Unknown product",IF(COUNTIFS(Dat_A,A339,Dat_B,B339,Dat_C,C339)&gt;1,"Duplicate market/product/year",IF(OR(NOT(ISNUMBER(D339)),NOT(ISNUMBER(E339))),"Add launch date and Data through date",IF(E339&lt;D339,"Data through is before launch",IF(OR(NOT(ISNUMBER(F339)),NOT(ISNUMBER(G339))),"Add units and revenue","OK")))))))</f>
        <v/>
      </c>
    </row>
    <row r="340">
      <c r="A340" s="17" t="n"/>
      <c r="B340" s="17" t="n"/>
      <c r="C340" s="17" t="n"/>
      <c r="D340" s="18" t="n"/>
      <c r="E340" s="18" t="n"/>
      <c r="F340" s="19" t="n"/>
      <c r="G340" s="20" t="n"/>
      <c r="H340" s="21">
        <f>IF(AND(ISNUMBER(D340),ISNUMBER(E340)),E340-D340+1,"")</f>
        <v/>
      </c>
      <c r="I340" s="22">
        <f>IF(AND(ISNUMBER(F340),N(F340)&gt;0,ISNUMBER(G340)),G340/F340,"")</f>
        <v/>
      </c>
      <c r="J340" s="21">
        <f>IF(OR(A340="",B340=""),"",IF(C340=Yr_Cur,"CY",IF(C340=Yr_Prev,"PY","")))</f>
        <v/>
      </c>
      <c r="K340" s="21">
        <f>IF(J340="","",IF(J340="CY",SUMIFS(Dat_H,Dat_A,A340,Dat_B,B340,Dat_C,Yr_Prev),SUMIFS(Dat_H,Dat_A,A340,Dat_B,B340,Dat_C,Yr_Cur)))</f>
        <v/>
      </c>
      <c r="L340" s="21">
        <f>IF(J340="",0,IF(AND(ISNUMBER(H340),N(K340)&gt;0,ISNUMBER(F340),ISNUMBER(G340),OR(Sel_Market="All markets",A340=Sel_Market),COUNTIFS(Control!$B$11:$B$13,B340,Control!$C$11:$C$13,"Yes")&gt;0),1,0))</f>
        <v/>
      </c>
      <c r="M340" s="21">
        <f>IF(L340=1,IF(J340="CY",H340,K340),"")</f>
        <v/>
      </c>
      <c r="N340" s="21">
        <f>IF(L340=1,IF(J340="PY",H340,K340),"")</f>
        <v/>
      </c>
      <c r="O340" s="23">
        <f>IF(L340=1,IF(J340="PY",F340*M340/N340,F340),0)</f>
        <v/>
      </c>
      <c r="P340" s="23">
        <f>IF(L340=1,IF(J340="PY",G340*M340/N340,G340),0)</f>
        <v/>
      </c>
      <c r="Q340" s="23">
        <f>IF(AND(L340=1,J340="PY"),F340*(N340-M340)/N340,0)</f>
        <v/>
      </c>
      <c r="R340" s="23">
        <f>IF(AND(L340=1,J340="PY"),G340*(N340-M340)/N340,0)</f>
        <v/>
      </c>
      <c r="S340" s="21">
        <f>IF(COUNTA(A340:G340)=0,"",IF(OR(A340="",B340="",NOT(ISNUMBER(C340))),"Fill market, product and year",IF(COUNTIF(Control!$B$11:$B$13,B340)=0,"Unknown product",IF(COUNTIFS(Dat_A,A340,Dat_B,B340,Dat_C,C340)&gt;1,"Duplicate market/product/year",IF(OR(NOT(ISNUMBER(D340)),NOT(ISNUMBER(E340))),"Add launch date and Data through date",IF(E340&lt;D340,"Data through is before launch",IF(OR(NOT(ISNUMBER(F340)),NOT(ISNUMBER(G340))),"Add units and revenue","OK")))))))</f>
        <v/>
      </c>
    </row>
    <row r="341">
      <c r="A341" s="17" t="n"/>
      <c r="B341" s="17" t="n"/>
      <c r="C341" s="17" t="n"/>
      <c r="D341" s="18" t="n"/>
      <c r="E341" s="18" t="n"/>
      <c r="F341" s="19" t="n"/>
      <c r="G341" s="20" t="n"/>
      <c r="H341" s="21">
        <f>IF(AND(ISNUMBER(D341),ISNUMBER(E341)),E341-D341+1,"")</f>
        <v/>
      </c>
      <c r="I341" s="22">
        <f>IF(AND(ISNUMBER(F341),N(F341)&gt;0,ISNUMBER(G341)),G341/F341,"")</f>
        <v/>
      </c>
      <c r="J341" s="21">
        <f>IF(OR(A341="",B341=""),"",IF(C341=Yr_Cur,"CY",IF(C341=Yr_Prev,"PY","")))</f>
        <v/>
      </c>
      <c r="K341" s="21">
        <f>IF(J341="","",IF(J341="CY",SUMIFS(Dat_H,Dat_A,A341,Dat_B,B341,Dat_C,Yr_Prev),SUMIFS(Dat_H,Dat_A,A341,Dat_B,B341,Dat_C,Yr_Cur)))</f>
        <v/>
      </c>
      <c r="L341" s="21">
        <f>IF(J341="",0,IF(AND(ISNUMBER(H341),N(K341)&gt;0,ISNUMBER(F341),ISNUMBER(G341),OR(Sel_Market="All markets",A341=Sel_Market),COUNTIFS(Control!$B$11:$B$13,B341,Control!$C$11:$C$13,"Yes")&gt;0),1,0))</f>
        <v/>
      </c>
      <c r="M341" s="21">
        <f>IF(L341=1,IF(J341="CY",H341,K341),"")</f>
        <v/>
      </c>
      <c r="N341" s="21">
        <f>IF(L341=1,IF(J341="PY",H341,K341),"")</f>
        <v/>
      </c>
      <c r="O341" s="23">
        <f>IF(L341=1,IF(J341="PY",F341*M341/N341,F341),0)</f>
        <v/>
      </c>
      <c r="P341" s="23">
        <f>IF(L341=1,IF(J341="PY",G341*M341/N341,G341),0)</f>
        <v/>
      </c>
      <c r="Q341" s="23">
        <f>IF(AND(L341=1,J341="PY"),F341*(N341-M341)/N341,0)</f>
        <v/>
      </c>
      <c r="R341" s="23">
        <f>IF(AND(L341=1,J341="PY"),G341*(N341-M341)/N341,0)</f>
        <v/>
      </c>
      <c r="S341" s="21">
        <f>IF(COUNTA(A341:G341)=0,"",IF(OR(A341="",B341="",NOT(ISNUMBER(C341))),"Fill market, product and year",IF(COUNTIF(Control!$B$11:$B$13,B341)=0,"Unknown product",IF(COUNTIFS(Dat_A,A341,Dat_B,B341,Dat_C,C341)&gt;1,"Duplicate market/product/year",IF(OR(NOT(ISNUMBER(D341)),NOT(ISNUMBER(E341))),"Add launch date and Data through date",IF(E341&lt;D341,"Data through is before launch",IF(OR(NOT(ISNUMBER(F341)),NOT(ISNUMBER(G341))),"Add units and revenue","OK")))))))</f>
        <v/>
      </c>
    </row>
    <row r="342">
      <c r="A342" s="17" t="n"/>
      <c r="B342" s="17" t="n"/>
      <c r="C342" s="17" t="n"/>
      <c r="D342" s="18" t="n"/>
      <c r="E342" s="18" t="n"/>
      <c r="F342" s="19" t="n"/>
      <c r="G342" s="20" t="n"/>
      <c r="H342" s="21">
        <f>IF(AND(ISNUMBER(D342),ISNUMBER(E342)),E342-D342+1,"")</f>
        <v/>
      </c>
      <c r="I342" s="22">
        <f>IF(AND(ISNUMBER(F342),N(F342)&gt;0,ISNUMBER(G342)),G342/F342,"")</f>
        <v/>
      </c>
      <c r="J342" s="21">
        <f>IF(OR(A342="",B342=""),"",IF(C342=Yr_Cur,"CY",IF(C342=Yr_Prev,"PY","")))</f>
        <v/>
      </c>
      <c r="K342" s="21">
        <f>IF(J342="","",IF(J342="CY",SUMIFS(Dat_H,Dat_A,A342,Dat_B,B342,Dat_C,Yr_Prev),SUMIFS(Dat_H,Dat_A,A342,Dat_B,B342,Dat_C,Yr_Cur)))</f>
        <v/>
      </c>
      <c r="L342" s="21">
        <f>IF(J342="",0,IF(AND(ISNUMBER(H342),N(K342)&gt;0,ISNUMBER(F342),ISNUMBER(G342),OR(Sel_Market="All markets",A342=Sel_Market),COUNTIFS(Control!$B$11:$B$13,B342,Control!$C$11:$C$13,"Yes")&gt;0),1,0))</f>
        <v/>
      </c>
      <c r="M342" s="21">
        <f>IF(L342=1,IF(J342="CY",H342,K342),"")</f>
        <v/>
      </c>
      <c r="N342" s="21">
        <f>IF(L342=1,IF(J342="PY",H342,K342),"")</f>
        <v/>
      </c>
      <c r="O342" s="23">
        <f>IF(L342=1,IF(J342="PY",F342*M342/N342,F342),0)</f>
        <v/>
      </c>
      <c r="P342" s="23">
        <f>IF(L342=1,IF(J342="PY",G342*M342/N342,G342),0)</f>
        <v/>
      </c>
      <c r="Q342" s="23">
        <f>IF(AND(L342=1,J342="PY"),F342*(N342-M342)/N342,0)</f>
        <v/>
      </c>
      <c r="R342" s="23">
        <f>IF(AND(L342=1,J342="PY"),G342*(N342-M342)/N342,0)</f>
        <v/>
      </c>
      <c r="S342" s="21">
        <f>IF(COUNTA(A342:G342)=0,"",IF(OR(A342="",B342="",NOT(ISNUMBER(C342))),"Fill market, product and year",IF(COUNTIF(Control!$B$11:$B$13,B342)=0,"Unknown product",IF(COUNTIFS(Dat_A,A342,Dat_B,B342,Dat_C,C342)&gt;1,"Duplicate market/product/year",IF(OR(NOT(ISNUMBER(D342)),NOT(ISNUMBER(E342))),"Add launch date and Data through date",IF(E342&lt;D342,"Data through is before launch",IF(OR(NOT(ISNUMBER(F342)),NOT(ISNUMBER(G342))),"Add units and revenue","OK")))))))</f>
        <v/>
      </c>
    </row>
    <row r="343">
      <c r="A343" s="17" t="n"/>
      <c r="B343" s="17" t="n"/>
      <c r="C343" s="17" t="n"/>
      <c r="D343" s="18" t="n"/>
      <c r="E343" s="18" t="n"/>
      <c r="F343" s="19" t="n"/>
      <c r="G343" s="20" t="n"/>
      <c r="H343" s="21">
        <f>IF(AND(ISNUMBER(D343),ISNUMBER(E343)),E343-D343+1,"")</f>
        <v/>
      </c>
      <c r="I343" s="22">
        <f>IF(AND(ISNUMBER(F343),N(F343)&gt;0,ISNUMBER(G343)),G343/F343,"")</f>
        <v/>
      </c>
      <c r="J343" s="21">
        <f>IF(OR(A343="",B343=""),"",IF(C343=Yr_Cur,"CY",IF(C343=Yr_Prev,"PY","")))</f>
        <v/>
      </c>
      <c r="K343" s="21">
        <f>IF(J343="","",IF(J343="CY",SUMIFS(Dat_H,Dat_A,A343,Dat_B,B343,Dat_C,Yr_Prev),SUMIFS(Dat_H,Dat_A,A343,Dat_B,B343,Dat_C,Yr_Cur)))</f>
        <v/>
      </c>
      <c r="L343" s="21">
        <f>IF(J343="",0,IF(AND(ISNUMBER(H343),N(K343)&gt;0,ISNUMBER(F343),ISNUMBER(G343),OR(Sel_Market="All markets",A343=Sel_Market),COUNTIFS(Control!$B$11:$B$13,B343,Control!$C$11:$C$13,"Yes")&gt;0),1,0))</f>
        <v/>
      </c>
      <c r="M343" s="21">
        <f>IF(L343=1,IF(J343="CY",H343,K343),"")</f>
        <v/>
      </c>
      <c r="N343" s="21">
        <f>IF(L343=1,IF(J343="PY",H343,K343),"")</f>
        <v/>
      </c>
      <c r="O343" s="23">
        <f>IF(L343=1,IF(J343="PY",F343*M343/N343,F343),0)</f>
        <v/>
      </c>
      <c r="P343" s="23">
        <f>IF(L343=1,IF(J343="PY",G343*M343/N343,G343),0)</f>
        <v/>
      </c>
      <c r="Q343" s="23">
        <f>IF(AND(L343=1,J343="PY"),F343*(N343-M343)/N343,0)</f>
        <v/>
      </c>
      <c r="R343" s="23">
        <f>IF(AND(L343=1,J343="PY"),G343*(N343-M343)/N343,0)</f>
        <v/>
      </c>
      <c r="S343" s="21">
        <f>IF(COUNTA(A343:G343)=0,"",IF(OR(A343="",B343="",NOT(ISNUMBER(C343))),"Fill market, product and year",IF(COUNTIF(Control!$B$11:$B$13,B343)=0,"Unknown product",IF(COUNTIFS(Dat_A,A343,Dat_B,B343,Dat_C,C343)&gt;1,"Duplicate market/product/year",IF(OR(NOT(ISNUMBER(D343)),NOT(ISNUMBER(E343))),"Add launch date and Data through date",IF(E343&lt;D343,"Data through is before launch",IF(OR(NOT(ISNUMBER(F343)),NOT(ISNUMBER(G343))),"Add units and revenue","OK")))))))</f>
        <v/>
      </c>
    </row>
    <row r="344">
      <c r="A344" s="17" t="n"/>
      <c r="B344" s="17" t="n"/>
      <c r="C344" s="17" t="n"/>
      <c r="D344" s="18" t="n"/>
      <c r="E344" s="18" t="n"/>
      <c r="F344" s="19" t="n"/>
      <c r="G344" s="20" t="n"/>
      <c r="H344" s="21">
        <f>IF(AND(ISNUMBER(D344),ISNUMBER(E344)),E344-D344+1,"")</f>
        <v/>
      </c>
      <c r="I344" s="22">
        <f>IF(AND(ISNUMBER(F344),N(F344)&gt;0,ISNUMBER(G344)),G344/F344,"")</f>
        <v/>
      </c>
      <c r="J344" s="21">
        <f>IF(OR(A344="",B344=""),"",IF(C344=Yr_Cur,"CY",IF(C344=Yr_Prev,"PY","")))</f>
        <v/>
      </c>
      <c r="K344" s="21">
        <f>IF(J344="","",IF(J344="CY",SUMIFS(Dat_H,Dat_A,A344,Dat_B,B344,Dat_C,Yr_Prev),SUMIFS(Dat_H,Dat_A,A344,Dat_B,B344,Dat_C,Yr_Cur)))</f>
        <v/>
      </c>
      <c r="L344" s="21">
        <f>IF(J344="",0,IF(AND(ISNUMBER(H344),N(K344)&gt;0,ISNUMBER(F344),ISNUMBER(G344),OR(Sel_Market="All markets",A344=Sel_Market),COUNTIFS(Control!$B$11:$B$13,B344,Control!$C$11:$C$13,"Yes")&gt;0),1,0))</f>
        <v/>
      </c>
      <c r="M344" s="21">
        <f>IF(L344=1,IF(J344="CY",H344,K344),"")</f>
        <v/>
      </c>
      <c r="N344" s="21">
        <f>IF(L344=1,IF(J344="PY",H344,K344),"")</f>
        <v/>
      </c>
      <c r="O344" s="23">
        <f>IF(L344=1,IF(J344="PY",F344*M344/N344,F344),0)</f>
        <v/>
      </c>
      <c r="P344" s="23">
        <f>IF(L344=1,IF(J344="PY",G344*M344/N344,G344),0)</f>
        <v/>
      </c>
      <c r="Q344" s="23">
        <f>IF(AND(L344=1,J344="PY"),F344*(N344-M344)/N344,0)</f>
        <v/>
      </c>
      <c r="R344" s="23">
        <f>IF(AND(L344=1,J344="PY"),G344*(N344-M344)/N344,0)</f>
        <v/>
      </c>
      <c r="S344" s="21">
        <f>IF(COUNTA(A344:G344)=0,"",IF(OR(A344="",B344="",NOT(ISNUMBER(C344))),"Fill market, product and year",IF(COUNTIF(Control!$B$11:$B$13,B344)=0,"Unknown product",IF(COUNTIFS(Dat_A,A344,Dat_B,B344,Dat_C,C344)&gt;1,"Duplicate market/product/year",IF(OR(NOT(ISNUMBER(D344)),NOT(ISNUMBER(E344))),"Add launch date and Data through date",IF(E344&lt;D344,"Data through is before launch",IF(OR(NOT(ISNUMBER(F344)),NOT(ISNUMBER(G344))),"Add units and revenue","OK")))))))</f>
        <v/>
      </c>
    </row>
    <row r="345">
      <c r="A345" s="17" t="n"/>
      <c r="B345" s="17" t="n"/>
      <c r="C345" s="17" t="n"/>
      <c r="D345" s="18" t="n"/>
      <c r="E345" s="18" t="n"/>
      <c r="F345" s="19" t="n"/>
      <c r="G345" s="20" t="n"/>
      <c r="H345" s="21">
        <f>IF(AND(ISNUMBER(D345),ISNUMBER(E345)),E345-D345+1,"")</f>
        <v/>
      </c>
      <c r="I345" s="22">
        <f>IF(AND(ISNUMBER(F345),N(F345)&gt;0,ISNUMBER(G345)),G345/F345,"")</f>
        <v/>
      </c>
      <c r="J345" s="21">
        <f>IF(OR(A345="",B345=""),"",IF(C345=Yr_Cur,"CY",IF(C345=Yr_Prev,"PY","")))</f>
        <v/>
      </c>
      <c r="K345" s="21">
        <f>IF(J345="","",IF(J345="CY",SUMIFS(Dat_H,Dat_A,A345,Dat_B,B345,Dat_C,Yr_Prev),SUMIFS(Dat_H,Dat_A,A345,Dat_B,B345,Dat_C,Yr_Cur)))</f>
        <v/>
      </c>
      <c r="L345" s="21">
        <f>IF(J345="",0,IF(AND(ISNUMBER(H345),N(K345)&gt;0,ISNUMBER(F345),ISNUMBER(G345),OR(Sel_Market="All markets",A345=Sel_Market),COUNTIFS(Control!$B$11:$B$13,B345,Control!$C$11:$C$13,"Yes")&gt;0),1,0))</f>
        <v/>
      </c>
      <c r="M345" s="21">
        <f>IF(L345=1,IF(J345="CY",H345,K345),"")</f>
        <v/>
      </c>
      <c r="N345" s="21">
        <f>IF(L345=1,IF(J345="PY",H345,K345),"")</f>
        <v/>
      </c>
      <c r="O345" s="23">
        <f>IF(L345=1,IF(J345="PY",F345*M345/N345,F345),0)</f>
        <v/>
      </c>
      <c r="P345" s="23">
        <f>IF(L345=1,IF(J345="PY",G345*M345/N345,G345),0)</f>
        <v/>
      </c>
      <c r="Q345" s="23">
        <f>IF(AND(L345=1,J345="PY"),F345*(N345-M345)/N345,0)</f>
        <v/>
      </c>
      <c r="R345" s="23">
        <f>IF(AND(L345=1,J345="PY"),G345*(N345-M345)/N345,0)</f>
        <v/>
      </c>
      <c r="S345" s="21">
        <f>IF(COUNTA(A345:G345)=0,"",IF(OR(A345="",B345="",NOT(ISNUMBER(C345))),"Fill market, product and year",IF(COUNTIF(Control!$B$11:$B$13,B345)=0,"Unknown product",IF(COUNTIFS(Dat_A,A345,Dat_B,B345,Dat_C,C345)&gt;1,"Duplicate market/product/year",IF(OR(NOT(ISNUMBER(D345)),NOT(ISNUMBER(E345))),"Add launch date and Data through date",IF(E345&lt;D345,"Data through is before launch",IF(OR(NOT(ISNUMBER(F345)),NOT(ISNUMBER(G345))),"Add units and revenue","OK")))))))</f>
        <v/>
      </c>
    </row>
    <row r="346">
      <c r="A346" s="17" t="n"/>
      <c r="B346" s="17" t="n"/>
      <c r="C346" s="17" t="n"/>
      <c r="D346" s="18" t="n"/>
      <c r="E346" s="18" t="n"/>
      <c r="F346" s="19" t="n"/>
      <c r="G346" s="20" t="n"/>
      <c r="H346" s="21">
        <f>IF(AND(ISNUMBER(D346),ISNUMBER(E346)),E346-D346+1,"")</f>
        <v/>
      </c>
      <c r="I346" s="22">
        <f>IF(AND(ISNUMBER(F346),N(F346)&gt;0,ISNUMBER(G346)),G346/F346,"")</f>
        <v/>
      </c>
      <c r="J346" s="21">
        <f>IF(OR(A346="",B346=""),"",IF(C346=Yr_Cur,"CY",IF(C346=Yr_Prev,"PY","")))</f>
        <v/>
      </c>
      <c r="K346" s="21">
        <f>IF(J346="","",IF(J346="CY",SUMIFS(Dat_H,Dat_A,A346,Dat_B,B346,Dat_C,Yr_Prev),SUMIFS(Dat_H,Dat_A,A346,Dat_B,B346,Dat_C,Yr_Cur)))</f>
        <v/>
      </c>
      <c r="L346" s="21">
        <f>IF(J346="",0,IF(AND(ISNUMBER(H346),N(K346)&gt;0,ISNUMBER(F346),ISNUMBER(G346),OR(Sel_Market="All markets",A346=Sel_Market),COUNTIFS(Control!$B$11:$B$13,B346,Control!$C$11:$C$13,"Yes")&gt;0),1,0))</f>
        <v/>
      </c>
      <c r="M346" s="21">
        <f>IF(L346=1,IF(J346="CY",H346,K346),"")</f>
        <v/>
      </c>
      <c r="N346" s="21">
        <f>IF(L346=1,IF(J346="PY",H346,K346),"")</f>
        <v/>
      </c>
      <c r="O346" s="23">
        <f>IF(L346=1,IF(J346="PY",F346*M346/N346,F346),0)</f>
        <v/>
      </c>
      <c r="P346" s="23">
        <f>IF(L346=1,IF(J346="PY",G346*M346/N346,G346),0)</f>
        <v/>
      </c>
      <c r="Q346" s="23">
        <f>IF(AND(L346=1,J346="PY"),F346*(N346-M346)/N346,0)</f>
        <v/>
      </c>
      <c r="R346" s="23">
        <f>IF(AND(L346=1,J346="PY"),G346*(N346-M346)/N346,0)</f>
        <v/>
      </c>
      <c r="S346" s="21">
        <f>IF(COUNTA(A346:G346)=0,"",IF(OR(A346="",B346="",NOT(ISNUMBER(C346))),"Fill market, product and year",IF(COUNTIF(Control!$B$11:$B$13,B346)=0,"Unknown product",IF(COUNTIFS(Dat_A,A346,Dat_B,B346,Dat_C,C346)&gt;1,"Duplicate market/product/year",IF(OR(NOT(ISNUMBER(D346)),NOT(ISNUMBER(E346))),"Add launch date and Data through date",IF(E346&lt;D346,"Data through is before launch",IF(OR(NOT(ISNUMBER(F346)),NOT(ISNUMBER(G346))),"Add units and revenue","OK")))))))</f>
        <v/>
      </c>
    </row>
    <row r="347">
      <c r="A347" s="17" t="n"/>
      <c r="B347" s="17" t="n"/>
      <c r="C347" s="17" t="n"/>
      <c r="D347" s="18" t="n"/>
      <c r="E347" s="18" t="n"/>
      <c r="F347" s="19" t="n"/>
      <c r="G347" s="20" t="n"/>
      <c r="H347" s="21">
        <f>IF(AND(ISNUMBER(D347),ISNUMBER(E347)),E347-D347+1,"")</f>
        <v/>
      </c>
      <c r="I347" s="22">
        <f>IF(AND(ISNUMBER(F347),N(F347)&gt;0,ISNUMBER(G347)),G347/F347,"")</f>
        <v/>
      </c>
      <c r="J347" s="21">
        <f>IF(OR(A347="",B347=""),"",IF(C347=Yr_Cur,"CY",IF(C347=Yr_Prev,"PY","")))</f>
        <v/>
      </c>
      <c r="K347" s="21">
        <f>IF(J347="","",IF(J347="CY",SUMIFS(Dat_H,Dat_A,A347,Dat_B,B347,Dat_C,Yr_Prev),SUMIFS(Dat_H,Dat_A,A347,Dat_B,B347,Dat_C,Yr_Cur)))</f>
        <v/>
      </c>
      <c r="L347" s="21">
        <f>IF(J347="",0,IF(AND(ISNUMBER(H347),N(K347)&gt;0,ISNUMBER(F347),ISNUMBER(G347),OR(Sel_Market="All markets",A347=Sel_Market),COUNTIFS(Control!$B$11:$B$13,B347,Control!$C$11:$C$13,"Yes")&gt;0),1,0))</f>
        <v/>
      </c>
      <c r="M347" s="21">
        <f>IF(L347=1,IF(J347="CY",H347,K347),"")</f>
        <v/>
      </c>
      <c r="N347" s="21">
        <f>IF(L347=1,IF(J347="PY",H347,K347),"")</f>
        <v/>
      </c>
      <c r="O347" s="23">
        <f>IF(L347=1,IF(J347="PY",F347*M347/N347,F347),0)</f>
        <v/>
      </c>
      <c r="P347" s="23">
        <f>IF(L347=1,IF(J347="PY",G347*M347/N347,G347),0)</f>
        <v/>
      </c>
      <c r="Q347" s="23">
        <f>IF(AND(L347=1,J347="PY"),F347*(N347-M347)/N347,0)</f>
        <v/>
      </c>
      <c r="R347" s="23">
        <f>IF(AND(L347=1,J347="PY"),G347*(N347-M347)/N347,0)</f>
        <v/>
      </c>
      <c r="S347" s="21">
        <f>IF(COUNTA(A347:G347)=0,"",IF(OR(A347="",B347="",NOT(ISNUMBER(C347))),"Fill market, product and year",IF(COUNTIF(Control!$B$11:$B$13,B347)=0,"Unknown product",IF(COUNTIFS(Dat_A,A347,Dat_B,B347,Dat_C,C347)&gt;1,"Duplicate market/product/year",IF(OR(NOT(ISNUMBER(D347)),NOT(ISNUMBER(E347))),"Add launch date and Data through date",IF(E347&lt;D347,"Data through is before launch",IF(OR(NOT(ISNUMBER(F347)),NOT(ISNUMBER(G347))),"Add units and revenue","OK")))))))</f>
        <v/>
      </c>
    </row>
    <row r="348">
      <c r="A348" s="17" t="n"/>
      <c r="B348" s="17" t="n"/>
      <c r="C348" s="17" t="n"/>
      <c r="D348" s="18" t="n"/>
      <c r="E348" s="18" t="n"/>
      <c r="F348" s="19" t="n"/>
      <c r="G348" s="20" t="n"/>
      <c r="H348" s="21">
        <f>IF(AND(ISNUMBER(D348),ISNUMBER(E348)),E348-D348+1,"")</f>
        <v/>
      </c>
      <c r="I348" s="22">
        <f>IF(AND(ISNUMBER(F348),N(F348)&gt;0,ISNUMBER(G348)),G348/F348,"")</f>
        <v/>
      </c>
      <c r="J348" s="21">
        <f>IF(OR(A348="",B348=""),"",IF(C348=Yr_Cur,"CY",IF(C348=Yr_Prev,"PY","")))</f>
        <v/>
      </c>
      <c r="K348" s="21">
        <f>IF(J348="","",IF(J348="CY",SUMIFS(Dat_H,Dat_A,A348,Dat_B,B348,Dat_C,Yr_Prev),SUMIFS(Dat_H,Dat_A,A348,Dat_B,B348,Dat_C,Yr_Cur)))</f>
        <v/>
      </c>
      <c r="L348" s="21">
        <f>IF(J348="",0,IF(AND(ISNUMBER(H348),N(K348)&gt;0,ISNUMBER(F348),ISNUMBER(G348),OR(Sel_Market="All markets",A348=Sel_Market),COUNTIFS(Control!$B$11:$B$13,B348,Control!$C$11:$C$13,"Yes")&gt;0),1,0))</f>
        <v/>
      </c>
      <c r="M348" s="21">
        <f>IF(L348=1,IF(J348="CY",H348,K348),"")</f>
        <v/>
      </c>
      <c r="N348" s="21">
        <f>IF(L348=1,IF(J348="PY",H348,K348),"")</f>
        <v/>
      </c>
      <c r="O348" s="23">
        <f>IF(L348=1,IF(J348="PY",F348*M348/N348,F348),0)</f>
        <v/>
      </c>
      <c r="P348" s="23">
        <f>IF(L348=1,IF(J348="PY",G348*M348/N348,G348),0)</f>
        <v/>
      </c>
      <c r="Q348" s="23">
        <f>IF(AND(L348=1,J348="PY"),F348*(N348-M348)/N348,0)</f>
        <v/>
      </c>
      <c r="R348" s="23">
        <f>IF(AND(L348=1,J348="PY"),G348*(N348-M348)/N348,0)</f>
        <v/>
      </c>
      <c r="S348" s="21">
        <f>IF(COUNTA(A348:G348)=0,"",IF(OR(A348="",B348="",NOT(ISNUMBER(C348))),"Fill market, product and year",IF(COUNTIF(Control!$B$11:$B$13,B348)=0,"Unknown product",IF(COUNTIFS(Dat_A,A348,Dat_B,B348,Dat_C,C348)&gt;1,"Duplicate market/product/year",IF(OR(NOT(ISNUMBER(D348)),NOT(ISNUMBER(E348))),"Add launch date and Data through date",IF(E348&lt;D348,"Data through is before launch",IF(OR(NOT(ISNUMBER(F348)),NOT(ISNUMBER(G348))),"Add units and revenue","OK")))))))</f>
        <v/>
      </c>
    </row>
    <row r="349">
      <c r="A349" s="17" t="n"/>
      <c r="B349" s="17" t="n"/>
      <c r="C349" s="17" t="n"/>
      <c r="D349" s="18" t="n"/>
      <c r="E349" s="18" t="n"/>
      <c r="F349" s="19" t="n"/>
      <c r="G349" s="20" t="n"/>
      <c r="H349" s="21">
        <f>IF(AND(ISNUMBER(D349),ISNUMBER(E349)),E349-D349+1,"")</f>
        <v/>
      </c>
      <c r="I349" s="22">
        <f>IF(AND(ISNUMBER(F349),N(F349)&gt;0,ISNUMBER(G349)),G349/F349,"")</f>
        <v/>
      </c>
      <c r="J349" s="21">
        <f>IF(OR(A349="",B349=""),"",IF(C349=Yr_Cur,"CY",IF(C349=Yr_Prev,"PY","")))</f>
        <v/>
      </c>
      <c r="K349" s="21">
        <f>IF(J349="","",IF(J349="CY",SUMIFS(Dat_H,Dat_A,A349,Dat_B,B349,Dat_C,Yr_Prev),SUMIFS(Dat_H,Dat_A,A349,Dat_B,B349,Dat_C,Yr_Cur)))</f>
        <v/>
      </c>
      <c r="L349" s="21">
        <f>IF(J349="",0,IF(AND(ISNUMBER(H349),N(K349)&gt;0,ISNUMBER(F349),ISNUMBER(G349),OR(Sel_Market="All markets",A349=Sel_Market),COUNTIFS(Control!$B$11:$B$13,B349,Control!$C$11:$C$13,"Yes")&gt;0),1,0))</f>
        <v/>
      </c>
      <c r="M349" s="21">
        <f>IF(L349=1,IF(J349="CY",H349,K349),"")</f>
        <v/>
      </c>
      <c r="N349" s="21">
        <f>IF(L349=1,IF(J349="PY",H349,K349),"")</f>
        <v/>
      </c>
      <c r="O349" s="23">
        <f>IF(L349=1,IF(J349="PY",F349*M349/N349,F349),0)</f>
        <v/>
      </c>
      <c r="P349" s="23">
        <f>IF(L349=1,IF(J349="PY",G349*M349/N349,G349),0)</f>
        <v/>
      </c>
      <c r="Q349" s="23">
        <f>IF(AND(L349=1,J349="PY"),F349*(N349-M349)/N349,0)</f>
        <v/>
      </c>
      <c r="R349" s="23">
        <f>IF(AND(L349=1,J349="PY"),G349*(N349-M349)/N349,0)</f>
        <v/>
      </c>
      <c r="S349" s="21">
        <f>IF(COUNTA(A349:G349)=0,"",IF(OR(A349="",B349="",NOT(ISNUMBER(C349))),"Fill market, product and year",IF(COUNTIF(Control!$B$11:$B$13,B349)=0,"Unknown product",IF(COUNTIFS(Dat_A,A349,Dat_B,B349,Dat_C,C349)&gt;1,"Duplicate market/product/year",IF(OR(NOT(ISNUMBER(D349)),NOT(ISNUMBER(E349))),"Add launch date and Data through date",IF(E349&lt;D349,"Data through is before launch",IF(OR(NOT(ISNUMBER(F349)),NOT(ISNUMBER(G349))),"Add units and revenue","OK")))))))</f>
        <v/>
      </c>
    </row>
    <row r="350">
      <c r="A350" s="17" t="n"/>
      <c r="B350" s="17" t="n"/>
      <c r="C350" s="17" t="n"/>
      <c r="D350" s="18" t="n"/>
      <c r="E350" s="18" t="n"/>
      <c r="F350" s="19" t="n"/>
      <c r="G350" s="20" t="n"/>
      <c r="H350" s="21">
        <f>IF(AND(ISNUMBER(D350),ISNUMBER(E350)),E350-D350+1,"")</f>
        <v/>
      </c>
      <c r="I350" s="22">
        <f>IF(AND(ISNUMBER(F350),N(F350)&gt;0,ISNUMBER(G350)),G350/F350,"")</f>
        <v/>
      </c>
      <c r="J350" s="21">
        <f>IF(OR(A350="",B350=""),"",IF(C350=Yr_Cur,"CY",IF(C350=Yr_Prev,"PY","")))</f>
        <v/>
      </c>
      <c r="K350" s="21">
        <f>IF(J350="","",IF(J350="CY",SUMIFS(Dat_H,Dat_A,A350,Dat_B,B350,Dat_C,Yr_Prev),SUMIFS(Dat_H,Dat_A,A350,Dat_B,B350,Dat_C,Yr_Cur)))</f>
        <v/>
      </c>
      <c r="L350" s="21">
        <f>IF(J350="",0,IF(AND(ISNUMBER(H350),N(K350)&gt;0,ISNUMBER(F350),ISNUMBER(G350),OR(Sel_Market="All markets",A350=Sel_Market),COUNTIFS(Control!$B$11:$B$13,B350,Control!$C$11:$C$13,"Yes")&gt;0),1,0))</f>
        <v/>
      </c>
      <c r="M350" s="21">
        <f>IF(L350=1,IF(J350="CY",H350,K350),"")</f>
        <v/>
      </c>
      <c r="N350" s="21">
        <f>IF(L350=1,IF(J350="PY",H350,K350),"")</f>
        <v/>
      </c>
      <c r="O350" s="23">
        <f>IF(L350=1,IF(J350="PY",F350*M350/N350,F350),0)</f>
        <v/>
      </c>
      <c r="P350" s="23">
        <f>IF(L350=1,IF(J350="PY",G350*M350/N350,G350),0)</f>
        <v/>
      </c>
      <c r="Q350" s="23">
        <f>IF(AND(L350=1,J350="PY"),F350*(N350-M350)/N350,0)</f>
        <v/>
      </c>
      <c r="R350" s="23">
        <f>IF(AND(L350=1,J350="PY"),G350*(N350-M350)/N350,0)</f>
        <v/>
      </c>
      <c r="S350" s="21">
        <f>IF(COUNTA(A350:G350)=0,"",IF(OR(A350="",B350="",NOT(ISNUMBER(C350))),"Fill market, product and year",IF(COUNTIF(Control!$B$11:$B$13,B350)=0,"Unknown product",IF(COUNTIFS(Dat_A,A350,Dat_B,B350,Dat_C,C350)&gt;1,"Duplicate market/product/year",IF(OR(NOT(ISNUMBER(D350)),NOT(ISNUMBER(E350))),"Add launch date and Data through date",IF(E350&lt;D350,"Data through is before launch",IF(OR(NOT(ISNUMBER(F350)),NOT(ISNUMBER(G350))),"Add units and revenue","OK")))))))</f>
        <v/>
      </c>
    </row>
    <row r="351">
      <c r="A351" s="17" t="n"/>
      <c r="B351" s="17" t="n"/>
      <c r="C351" s="17" t="n"/>
      <c r="D351" s="18" t="n"/>
      <c r="E351" s="18" t="n"/>
      <c r="F351" s="19" t="n"/>
      <c r="G351" s="20" t="n"/>
      <c r="H351" s="21">
        <f>IF(AND(ISNUMBER(D351),ISNUMBER(E351)),E351-D351+1,"")</f>
        <v/>
      </c>
      <c r="I351" s="22">
        <f>IF(AND(ISNUMBER(F351),N(F351)&gt;0,ISNUMBER(G351)),G351/F351,"")</f>
        <v/>
      </c>
      <c r="J351" s="21">
        <f>IF(OR(A351="",B351=""),"",IF(C351=Yr_Cur,"CY",IF(C351=Yr_Prev,"PY","")))</f>
        <v/>
      </c>
      <c r="K351" s="21">
        <f>IF(J351="","",IF(J351="CY",SUMIFS(Dat_H,Dat_A,A351,Dat_B,B351,Dat_C,Yr_Prev),SUMIFS(Dat_H,Dat_A,A351,Dat_B,B351,Dat_C,Yr_Cur)))</f>
        <v/>
      </c>
      <c r="L351" s="21">
        <f>IF(J351="",0,IF(AND(ISNUMBER(H351),N(K351)&gt;0,ISNUMBER(F351),ISNUMBER(G351),OR(Sel_Market="All markets",A351=Sel_Market),COUNTIFS(Control!$B$11:$B$13,B351,Control!$C$11:$C$13,"Yes")&gt;0),1,0))</f>
        <v/>
      </c>
      <c r="M351" s="21">
        <f>IF(L351=1,IF(J351="CY",H351,K351),"")</f>
        <v/>
      </c>
      <c r="N351" s="21">
        <f>IF(L351=1,IF(J351="PY",H351,K351),"")</f>
        <v/>
      </c>
      <c r="O351" s="23">
        <f>IF(L351=1,IF(J351="PY",F351*M351/N351,F351),0)</f>
        <v/>
      </c>
      <c r="P351" s="23">
        <f>IF(L351=1,IF(J351="PY",G351*M351/N351,G351),0)</f>
        <v/>
      </c>
      <c r="Q351" s="23">
        <f>IF(AND(L351=1,J351="PY"),F351*(N351-M351)/N351,0)</f>
        <v/>
      </c>
      <c r="R351" s="23">
        <f>IF(AND(L351=1,J351="PY"),G351*(N351-M351)/N351,0)</f>
        <v/>
      </c>
      <c r="S351" s="21">
        <f>IF(COUNTA(A351:G351)=0,"",IF(OR(A351="",B351="",NOT(ISNUMBER(C351))),"Fill market, product and year",IF(COUNTIF(Control!$B$11:$B$13,B351)=0,"Unknown product",IF(COUNTIFS(Dat_A,A351,Dat_B,B351,Dat_C,C351)&gt;1,"Duplicate market/product/year",IF(OR(NOT(ISNUMBER(D351)),NOT(ISNUMBER(E351))),"Add launch date and Data through date",IF(E351&lt;D351,"Data through is before launch",IF(OR(NOT(ISNUMBER(F351)),NOT(ISNUMBER(G351))),"Add units and revenue","OK")))))))</f>
        <v/>
      </c>
    </row>
    <row r="352">
      <c r="A352" s="17" t="n"/>
      <c r="B352" s="17" t="n"/>
      <c r="C352" s="17" t="n"/>
      <c r="D352" s="18" t="n"/>
      <c r="E352" s="18" t="n"/>
      <c r="F352" s="19" t="n"/>
      <c r="G352" s="20" t="n"/>
      <c r="H352" s="21">
        <f>IF(AND(ISNUMBER(D352),ISNUMBER(E352)),E352-D352+1,"")</f>
        <v/>
      </c>
      <c r="I352" s="22">
        <f>IF(AND(ISNUMBER(F352),N(F352)&gt;0,ISNUMBER(G352)),G352/F352,"")</f>
        <v/>
      </c>
      <c r="J352" s="21">
        <f>IF(OR(A352="",B352=""),"",IF(C352=Yr_Cur,"CY",IF(C352=Yr_Prev,"PY","")))</f>
        <v/>
      </c>
      <c r="K352" s="21">
        <f>IF(J352="","",IF(J352="CY",SUMIFS(Dat_H,Dat_A,A352,Dat_B,B352,Dat_C,Yr_Prev),SUMIFS(Dat_H,Dat_A,A352,Dat_B,B352,Dat_C,Yr_Cur)))</f>
        <v/>
      </c>
      <c r="L352" s="21">
        <f>IF(J352="",0,IF(AND(ISNUMBER(H352),N(K352)&gt;0,ISNUMBER(F352),ISNUMBER(G352),OR(Sel_Market="All markets",A352=Sel_Market),COUNTIFS(Control!$B$11:$B$13,B352,Control!$C$11:$C$13,"Yes")&gt;0),1,0))</f>
        <v/>
      </c>
      <c r="M352" s="21">
        <f>IF(L352=1,IF(J352="CY",H352,K352),"")</f>
        <v/>
      </c>
      <c r="N352" s="21">
        <f>IF(L352=1,IF(J352="PY",H352,K352),"")</f>
        <v/>
      </c>
      <c r="O352" s="23">
        <f>IF(L352=1,IF(J352="PY",F352*M352/N352,F352),0)</f>
        <v/>
      </c>
      <c r="P352" s="23">
        <f>IF(L352=1,IF(J352="PY",G352*M352/N352,G352),0)</f>
        <v/>
      </c>
      <c r="Q352" s="23">
        <f>IF(AND(L352=1,J352="PY"),F352*(N352-M352)/N352,0)</f>
        <v/>
      </c>
      <c r="R352" s="23">
        <f>IF(AND(L352=1,J352="PY"),G352*(N352-M352)/N352,0)</f>
        <v/>
      </c>
      <c r="S352" s="21">
        <f>IF(COUNTA(A352:G352)=0,"",IF(OR(A352="",B352="",NOT(ISNUMBER(C352))),"Fill market, product and year",IF(COUNTIF(Control!$B$11:$B$13,B352)=0,"Unknown product",IF(COUNTIFS(Dat_A,A352,Dat_B,B352,Dat_C,C352)&gt;1,"Duplicate market/product/year",IF(OR(NOT(ISNUMBER(D352)),NOT(ISNUMBER(E352))),"Add launch date and Data through date",IF(E352&lt;D352,"Data through is before launch",IF(OR(NOT(ISNUMBER(F352)),NOT(ISNUMBER(G352))),"Add units and revenue","OK")))))))</f>
        <v/>
      </c>
    </row>
    <row r="353">
      <c r="A353" s="17" t="n"/>
      <c r="B353" s="17" t="n"/>
      <c r="C353" s="17" t="n"/>
      <c r="D353" s="18" t="n"/>
      <c r="E353" s="18" t="n"/>
      <c r="F353" s="19" t="n"/>
      <c r="G353" s="20" t="n"/>
      <c r="H353" s="21">
        <f>IF(AND(ISNUMBER(D353),ISNUMBER(E353)),E353-D353+1,"")</f>
        <v/>
      </c>
      <c r="I353" s="22">
        <f>IF(AND(ISNUMBER(F353),N(F353)&gt;0,ISNUMBER(G353)),G353/F353,"")</f>
        <v/>
      </c>
      <c r="J353" s="21">
        <f>IF(OR(A353="",B353=""),"",IF(C353=Yr_Cur,"CY",IF(C353=Yr_Prev,"PY","")))</f>
        <v/>
      </c>
      <c r="K353" s="21">
        <f>IF(J353="","",IF(J353="CY",SUMIFS(Dat_H,Dat_A,A353,Dat_B,B353,Dat_C,Yr_Prev),SUMIFS(Dat_H,Dat_A,A353,Dat_B,B353,Dat_C,Yr_Cur)))</f>
        <v/>
      </c>
      <c r="L353" s="21">
        <f>IF(J353="",0,IF(AND(ISNUMBER(H353),N(K353)&gt;0,ISNUMBER(F353),ISNUMBER(G353),OR(Sel_Market="All markets",A353=Sel_Market),COUNTIFS(Control!$B$11:$B$13,B353,Control!$C$11:$C$13,"Yes")&gt;0),1,0))</f>
        <v/>
      </c>
      <c r="M353" s="21">
        <f>IF(L353=1,IF(J353="CY",H353,K353),"")</f>
        <v/>
      </c>
      <c r="N353" s="21">
        <f>IF(L353=1,IF(J353="PY",H353,K353),"")</f>
        <v/>
      </c>
      <c r="O353" s="23">
        <f>IF(L353=1,IF(J353="PY",F353*M353/N353,F353),0)</f>
        <v/>
      </c>
      <c r="P353" s="23">
        <f>IF(L353=1,IF(J353="PY",G353*M353/N353,G353),0)</f>
        <v/>
      </c>
      <c r="Q353" s="23">
        <f>IF(AND(L353=1,J353="PY"),F353*(N353-M353)/N353,0)</f>
        <v/>
      </c>
      <c r="R353" s="23">
        <f>IF(AND(L353=1,J353="PY"),G353*(N353-M353)/N353,0)</f>
        <v/>
      </c>
      <c r="S353" s="21">
        <f>IF(COUNTA(A353:G353)=0,"",IF(OR(A353="",B353="",NOT(ISNUMBER(C353))),"Fill market, product and year",IF(COUNTIF(Control!$B$11:$B$13,B353)=0,"Unknown product",IF(COUNTIFS(Dat_A,A353,Dat_B,B353,Dat_C,C353)&gt;1,"Duplicate market/product/year",IF(OR(NOT(ISNUMBER(D353)),NOT(ISNUMBER(E353))),"Add launch date and Data through date",IF(E353&lt;D353,"Data through is before launch",IF(OR(NOT(ISNUMBER(F353)),NOT(ISNUMBER(G353))),"Add units and revenue","OK")))))))</f>
        <v/>
      </c>
    </row>
    <row r="354">
      <c r="A354" s="17" t="n"/>
      <c r="B354" s="17" t="n"/>
      <c r="C354" s="17" t="n"/>
      <c r="D354" s="18" t="n"/>
      <c r="E354" s="18" t="n"/>
      <c r="F354" s="19" t="n"/>
      <c r="G354" s="20" t="n"/>
      <c r="H354" s="21">
        <f>IF(AND(ISNUMBER(D354),ISNUMBER(E354)),E354-D354+1,"")</f>
        <v/>
      </c>
      <c r="I354" s="22">
        <f>IF(AND(ISNUMBER(F354),N(F354)&gt;0,ISNUMBER(G354)),G354/F354,"")</f>
        <v/>
      </c>
      <c r="J354" s="21">
        <f>IF(OR(A354="",B354=""),"",IF(C354=Yr_Cur,"CY",IF(C354=Yr_Prev,"PY","")))</f>
        <v/>
      </c>
      <c r="K354" s="21">
        <f>IF(J354="","",IF(J354="CY",SUMIFS(Dat_H,Dat_A,A354,Dat_B,B354,Dat_C,Yr_Prev),SUMIFS(Dat_H,Dat_A,A354,Dat_B,B354,Dat_C,Yr_Cur)))</f>
        <v/>
      </c>
      <c r="L354" s="21">
        <f>IF(J354="",0,IF(AND(ISNUMBER(H354),N(K354)&gt;0,ISNUMBER(F354),ISNUMBER(G354),OR(Sel_Market="All markets",A354=Sel_Market),COUNTIFS(Control!$B$11:$B$13,B354,Control!$C$11:$C$13,"Yes")&gt;0),1,0))</f>
        <v/>
      </c>
      <c r="M354" s="21">
        <f>IF(L354=1,IF(J354="CY",H354,K354),"")</f>
        <v/>
      </c>
      <c r="N354" s="21">
        <f>IF(L354=1,IF(J354="PY",H354,K354),"")</f>
        <v/>
      </c>
      <c r="O354" s="23">
        <f>IF(L354=1,IF(J354="PY",F354*M354/N354,F354),0)</f>
        <v/>
      </c>
      <c r="P354" s="23">
        <f>IF(L354=1,IF(J354="PY",G354*M354/N354,G354),0)</f>
        <v/>
      </c>
      <c r="Q354" s="23">
        <f>IF(AND(L354=1,J354="PY"),F354*(N354-M354)/N354,0)</f>
        <v/>
      </c>
      <c r="R354" s="23">
        <f>IF(AND(L354=1,J354="PY"),G354*(N354-M354)/N354,0)</f>
        <v/>
      </c>
      <c r="S354" s="21">
        <f>IF(COUNTA(A354:G354)=0,"",IF(OR(A354="",B354="",NOT(ISNUMBER(C354))),"Fill market, product and year",IF(COUNTIF(Control!$B$11:$B$13,B354)=0,"Unknown product",IF(COUNTIFS(Dat_A,A354,Dat_B,B354,Dat_C,C354)&gt;1,"Duplicate market/product/year",IF(OR(NOT(ISNUMBER(D354)),NOT(ISNUMBER(E354))),"Add launch date and Data through date",IF(E354&lt;D354,"Data through is before launch",IF(OR(NOT(ISNUMBER(F354)),NOT(ISNUMBER(G354))),"Add units and revenue","OK")))))))</f>
        <v/>
      </c>
    </row>
    <row r="355">
      <c r="A355" s="17" t="n"/>
      <c r="B355" s="17" t="n"/>
      <c r="C355" s="17" t="n"/>
      <c r="D355" s="18" t="n"/>
      <c r="E355" s="18" t="n"/>
      <c r="F355" s="19" t="n"/>
      <c r="G355" s="20" t="n"/>
      <c r="H355" s="21">
        <f>IF(AND(ISNUMBER(D355),ISNUMBER(E355)),E355-D355+1,"")</f>
        <v/>
      </c>
      <c r="I355" s="22">
        <f>IF(AND(ISNUMBER(F355),N(F355)&gt;0,ISNUMBER(G355)),G355/F355,"")</f>
        <v/>
      </c>
      <c r="J355" s="21">
        <f>IF(OR(A355="",B355=""),"",IF(C355=Yr_Cur,"CY",IF(C355=Yr_Prev,"PY","")))</f>
        <v/>
      </c>
      <c r="K355" s="21">
        <f>IF(J355="","",IF(J355="CY",SUMIFS(Dat_H,Dat_A,A355,Dat_B,B355,Dat_C,Yr_Prev),SUMIFS(Dat_H,Dat_A,A355,Dat_B,B355,Dat_C,Yr_Cur)))</f>
        <v/>
      </c>
      <c r="L355" s="21">
        <f>IF(J355="",0,IF(AND(ISNUMBER(H355),N(K355)&gt;0,ISNUMBER(F355),ISNUMBER(G355),OR(Sel_Market="All markets",A355=Sel_Market),COUNTIFS(Control!$B$11:$B$13,B355,Control!$C$11:$C$13,"Yes")&gt;0),1,0))</f>
        <v/>
      </c>
      <c r="M355" s="21">
        <f>IF(L355=1,IF(J355="CY",H355,K355),"")</f>
        <v/>
      </c>
      <c r="N355" s="21">
        <f>IF(L355=1,IF(J355="PY",H355,K355),"")</f>
        <v/>
      </c>
      <c r="O355" s="23">
        <f>IF(L355=1,IF(J355="PY",F355*M355/N355,F355),0)</f>
        <v/>
      </c>
      <c r="P355" s="23">
        <f>IF(L355=1,IF(J355="PY",G355*M355/N355,G355),0)</f>
        <v/>
      </c>
      <c r="Q355" s="23">
        <f>IF(AND(L355=1,J355="PY"),F355*(N355-M355)/N355,0)</f>
        <v/>
      </c>
      <c r="R355" s="23">
        <f>IF(AND(L355=1,J355="PY"),G355*(N355-M355)/N355,0)</f>
        <v/>
      </c>
      <c r="S355" s="21">
        <f>IF(COUNTA(A355:G355)=0,"",IF(OR(A355="",B355="",NOT(ISNUMBER(C355))),"Fill market, product and year",IF(COUNTIF(Control!$B$11:$B$13,B355)=0,"Unknown product",IF(COUNTIFS(Dat_A,A355,Dat_B,B355,Dat_C,C355)&gt;1,"Duplicate market/product/year",IF(OR(NOT(ISNUMBER(D355)),NOT(ISNUMBER(E355))),"Add launch date and Data through date",IF(E355&lt;D355,"Data through is before launch",IF(OR(NOT(ISNUMBER(F355)),NOT(ISNUMBER(G355))),"Add units and revenue","OK")))))))</f>
        <v/>
      </c>
    </row>
    <row r="356">
      <c r="A356" s="17" t="n"/>
      <c r="B356" s="17" t="n"/>
      <c r="C356" s="17" t="n"/>
      <c r="D356" s="18" t="n"/>
      <c r="E356" s="18" t="n"/>
      <c r="F356" s="19" t="n"/>
      <c r="G356" s="20" t="n"/>
      <c r="H356" s="21">
        <f>IF(AND(ISNUMBER(D356),ISNUMBER(E356)),E356-D356+1,"")</f>
        <v/>
      </c>
      <c r="I356" s="22">
        <f>IF(AND(ISNUMBER(F356),N(F356)&gt;0,ISNUMBER(G356)),G356/F356,"")</f>
        <v/>
      </c>
      <c r="J356" s="21">
        <f>IF(OR(A356="",B356=""),"",IF(C356=Yr_Cur,"CY",IF(C356=Yr_Prev,"PY","")))</f>
        <v/>
      </c>
      <c r="K356" s="21">
        <f>IF(J356="","",IF(J356="CY",SUMIFS(Dat_H,Dat_A,A356,Dat_B,B356,Dat_C,Yr_Prev),SUMIFS(Dat_H,Dat_A,A356,Dat_B,B356,Dat_C,Yr_Cur)))</f>
        <v/>
      </c>
      <c r="L356" s="21">
        <f>IF(J356="",0,IF(AND(ISNUMBER(H356),N(K356)&gt;0,ISNUMBER(F356),ISNUMBER(G356),OR(Sel_Market="All markets",A356=Sel_Market),COUNTIFS(Control!$B$11:$B$13,B356,Control!$C$11:$C$13,"Yes")&gt;0),1,0))</f>
        <v/>
      </c>
      <c r="M356" s="21">
        <f>IF(L356=1,IF(J356="CY",H356,K356),"")</f>
        <v/>
      </c>
      <c r="N356" s="21">
        <f>IF(L356=1,IF(J356="PY",H356,K356),"")</f>
        <v/>
      </c>
      <c r="O356" s="23">
        <f>IF(L356=1,IF(J356="PY",F356*M356/N356,F356),0)</f>
        <v/>
      </c>
      <c r="P356" s="23">
        <f>IF(L356=1,IF(J356="PY",G356*M356/N356,G356),0)</f>
        <v/>
      </c>
      <c r="Q356" s="23">
        <f>IF(AND(L356=1,J356="PY"),F356*(N356-M356)/N356,0)</f>
        <v/>
      </c>
      <c r="R356" s="23">
        <f>IF(AND(L356=1,J356="PY"),G356*(N356-M356)/N356,0)</f>
        <v/>
      </c>
      <c r="S356" s="21">
        <f>IF(COUNTA(A356:G356)=0,"",IF(OR(A356="",B356="",NOT(ISNUMBER(C356))),"Fill market, product and year",IF(COUNTIF(Control!$B$11:$B$13,B356)=0,"Unknown product",IF(COUNTIFS(Dat_A,A356,Dat_B,B356,Dat_C,C356)&gt;1,"Duplicate market/product/year",IF(OR(NOT(ISNUMBER(D356)),NOT(ISNUMBER(E356))),"Add launch date and Data through date",IF(E356&lt;D356,"Data through is before launch",IF(OR(NOT(ISNUMBER(F356)),NOT(ISNUMBER(G356))),"Add units and revenue","OK")))))))</f>
        <v/>
      </c>
    </row>
    <row r="357">
      <c r="A357" s="17" t="n"/>
      <c r="B357" s="17" t="n"/>
      <c r="C357" s="17" t="n"/>
      <c r="D357" s="18" t="n"/>
      <c r="E357" s="18" t="n"/>
      <c r="F357" s="19" t="n"/>
      <c r="G357" s="20" t="n"/>
      <c r="H357" s="21">
        <f>IF(AND(ISNUMBER(D357),ISNUMBER(E357)),E357-D357+1,"")</f>
        <v/>
      </c>
      <c r="I357" s="22">
        <f>IF(AND(ISNUMBER(F357),N(F357)&gt;0,ISNUMBER(G357)),G357/F357,"")</f>
        <v/>
      </c>
      <c r="J357" s="21">
        <f>IF(OR(A357="",B357=""),"",IF(C357=Yr_Cur,"CY",IF(C357=Yr_Prev,"PY","")))</f>
        <v/>
      </c>
      <c r="K357" s="21">
        <f>IF(J357="","",IF(J357="CY",SUMIFS(Dat_H,Dat_A,A357,Dat_B,B357,Dat_C,Yr_Prev),SUMIFS(Dat_H,Dat_A,A357,Dat_B,B357,Dat_C,Yr_Cur)))</f>
        <v/>
      </c>
      <c r="L357" s="21">
        <f>IF(J357="",0,IF(AND(ISNUMBER(H357),N(K357)&gt;0,ISNUMBER(F357),ISNUMBER(G357),OR(Sel_Market="All markets",A357=Sel_Market),COUNTIFS(Control!$B$11:$B$13,B357,Control!$C$11:$C$13,"Yes")&gt;0),1,0))</f>
        <v/>
      </c>
      <c r="M357" s="21">
        <f>IF(L357=1,IF(J357="CY",H357,K357),"")</f>
        <v/>
      </c>
      <c r="N357" s="21">
        <f>IF(L357=1,IF(J357="PY",H357,K357),"")</f>
        <v/>
      </c>
      <c r="O357" s="23">
        <f>IF(L357=1,IF(J357="PY",F357*M357/N357,F357),0)</f>
        <v/>
      </c>
      <c r="P357" s="23">
        <f>IF(L357=1,IF(J357="PY",G357*M357/N357,G357),0)</f>
        <v/>
      </c>
      <c r="Q357" s="23">
        <f>IF(AND(L357=1,J357="PY"),F357*(N357-M357)/N357,0)</f>
        <v/>
      </c>
      <c r="R357" s="23">
        <f>IF(AND(L357=1,J357="PY"),G357*(N357-M357)/N357,0)</f>
        <v/>
      </c>
      <c r="S357" s="21">
        <f>IF(COUNTA(A357:G357)=0,"",IF(OR(A357="",B357="",NOT(ISNUMBER(C357))),"Fill market, product and year",IF(COUNTIF(Control!$B$11:$B$13,B357)=0,"Unknown product",IF(COUNTIFS(Dat_A,A357,Dat_B,B357,Dat_C,C357)&gt;1,"Duplicate market/product/year",IF(OR(NOT(ISNUMBER(D357)),NOT(ISNUMBER(E357))),"Add launch date and Data through date",IF(E357&lt;D357,"Data through is before launch",IF(OR(NOT(ISNUMBER(F357)),NOT(ISNUMBER(G357))),"Add units and revenue","OK")))))))</f>
        <v/>
      </c>
    </row>
    <row r="358">
      <c r="A358" s="17" t="n"/>
      <c r="B358" s="17" t="n"/>
      <c r="C358" s="17" t="n"/>
      <c r="D358" s="18" t="n"/>
      <c r="E358" s="18" t="n"/>
      <c r="F358" s="19" t="n"/>
      <c r="G358" s="20" t="n"/>
      <c r="H358" s="21">
        <f>IF(AND(ISNUMBER(D358),ISNUMBER(E358)),E358-D358+1,"")</f>
        <v/>
      </c>
      <c r="I358" s="22">
        <f>IF(AND(ISNUMBER(F358),N(F358)&gt;0,ISNUMBER(G358)),G358/F358,"")</f>
        <v/>
      </c>
      <c r="J358" s="21">
        <f>IF(OR(A358="",B358=""),"",IF(C358=Yr_Cur,"CY",IF(C358=Yr_Prev,"PY","")))</f>
        <v/>
      </c>
      <c r="K358" s="21">
        <f>IF(J358="","",IF(J358="CY",SUMIFS(Dat_H,Dat_A,A358,Dat_B,B358,Dat_C,Yr_Prev),SUMIFS(Dat_H,Dat_A,A358,Dat_B,B358,Dat_C,Yr_Cur)))</f>
        <v/>
      </c>
      <c r="L358" s="21">
        <f>IF(J358="",0,IF(AND(ISNUMBER(H358),N(K358)&gt;0,ISNUMBER(F358),ISNUMBER(G358),OR(Sel_Market="All markets",A358=Sel_Market),COUNTIFS(Control!$B$11:$B$13,B358,Control!$C$11:$C$13,"Yes")&gt;0),1,0))</f>
        <v/>
      </c>
      <c r="M358" s="21">
        <f>IF(L358=1,IF(J358="CY",H358,K358),"")</f>
        <v/>
      </c>
      <c r="N358" s="21">
        <f>IF(L358=1,IF(J358="PY",H358,K358),"")</f>
        <v/>
      </c>
      <c r="O358" s="23">
        <f>IF(L358=1,IF(J358="PY",F358*M358/N358,F358),0)</f>
        <v/>
      </c>
      <c r="P358" s="23">
        <f>IF(L358=1,IF(J358="PY",G358*M358/N358,G358),0)</f>
        <v/>
      </c>
      <c r="Q358" s="23">
        <f>IF(AND(L358=1,J358="PY"),F358*(N358-M358)/N358,0)</f>
        <v/>
      </c>
      <c r="R358" s="23">
        <f>IF(AND(L358=1,J358="PY"),G358*(N358-M358)/N358,0)</f>
        <v/>
      </c>
      <c r="S358" s="21">
        <f>IF(COUNTA(A358:G358)=0,"",IF(OR(A358="",B358="",NOT(ISNUMBER(C358))),"Fill market, product and year",IF(COUNTIF(Control!$B$11:$B$13,B358)=0,"Unknown product",IF(COUNTIFS(Dat_A,A358,Dat_B,B358,Dat_C,C358)&gt;1,"Duplicate market/product/year",IF(OR(NOT(ISNUMBER(D358)),NOT(ISNUMBER(E358))),"Add launch date and Data through date",IF(E358&lt;D358,"Data through is before launch",IF(OR(NOT(ISNUMBER(F358)),NOT(ISNUMBER(G358))),"Add units and revenue","OK")))))))</f>
        <v/>
      </c>
    </row>
    <row r="359">
      <c r="A359" s="17" t="n"/>
      <c r="B359" s="17" t="n"/>
      <c r="C359" s="17" t="n"/>
      <c r="D359" s="18" t="n"/>
      <c r="E359" s="18" t="n"/>
      <c r="F359" s="19" t="n"/>
      <c r="G359" s="20" t="n"/>
      <c r="H359" s="21">
        <f>IF(AND(ISNUMBER(D359),ISNUMBER(E359)),E359-D359+1,"")</f>
        <v/>
      </c>
      <c r="I359" s="22">
        <f>IF(AND(ISNUMBER(F359),N(F359)&gt;0,ISNUMBER(G359)),G359/F359,"")</f>
        <v/>
      </c>
      <c r="J359" s="21">
        <f>IF(OR(A359="",B359=""),"",IF(C359=Yr_Cur,"CY",IF(C359=Yr_Prev,"PY","")))</f>
        <v/>
      </c>
      <c r="K359" s="21">
        <f>IF(J359="","",IF(J359="CY",SUMIFS(Dat_H,Dat_A,A359,Dat_B,B359,Dat_C,Yr_Prev),SUMIFS(Dat_H,Dat_A,A359,Dat_B,B359,Dat_C,Yr_Cur)))</f>
        <v/>
      </c>
      <c r="L359" s="21">
        <f>IF(J359="",0,IF(AND(ISNUMBER(H359),N(K359)&gt;0,ISNUMBER(F359),ISNUMBER(G359),OR(Sel_Market="All markets",A359=Sel_Market),COUNTIFS(Control!$B$11:$B$13,B359,Control!$C$11:$C$13,"Yes")&gt;0),1,0))</f>
        <v/>
      </c>
      <c r="M359" s="21">
        <f>IF(L359=1,IF(J359="CY",H359,K359),"")</f>
        <v/>
      </c>
      <c r="N359" s="21">
        <f>IF(L359=1,IF(J359="PY",H359,K359),"")</f>
        <v/>
      </c>
      <c r="O359" s="23">
        <f>IF(L359=1,IF(J359="PY",F359*M359/N359,F359),0)</f>
        <v/>
      </c>
      <c r="P359" s="23">
        <f>IF(L359=1,IF(J359="PY",G359*M359/N359,G359),0)</f>
        <v/>
      </c>
      <c r="Q359" s="23">
        <f>IF(AND(L359=1,J359="PY"),F359*(N359-M359)/N359,0)</f>
        <v/>
      </c>
      <c r="R359" s="23">
        <f>IF(AND(L359=1,J359="PY"),G359*(N359-M359)/N359,0)</f>
        <v/>
      </c>
      <c r="S359" s="21">
        <f>IF(COUNTA(A359:G359)=0,"",IF(OR(A359="",B359="",NOT(ISNUMBER(C359))),"Fill market, product and year",IF(COUNTIF(Control!$B$11:$B$13,B359)=0,"Unknown product",IF(COUNTIFS(Dat_A,A359,Dat_B,B359,Dat_C,C359)&gt;1,"Duplicate market/product/year",IF(OR(NOT(ISNUMBER(D359)),NOT(ISNUMBER(E359))),"Add launch date and Data through date",IF(E359&lt;D359,"Data through is before launch",IF(OR(NOT(ISNUMBER(F359)),NOT(ISNUMBER(G359))),"Add units and revenue","OK")))))))</f>
        <v/>
      </c>
    </row>
    <row r="360">
      <c r="A360" s="17" t="n"/>
      <c r="B360" s="17" t="n"/>
      <c r="C360" s="17" t="n"/>
      <c r="D360" s="18" t="n"/>
      <c r="E360" s="18" t="n"/>
      <c r="F360" s="19" t="n"/>
      <c r="G360" s="20" t="n"/>
      <c r="H360" s="21">
        <f>IF(AND(ISNUMBER(D360),ISNUMBER(E360)),E360-D360+1,"")</f>
        <v/>
      </c>
      <c r="I360" s="22">
        <f>IF(AND(ISNUMBER(F360),N(F360)&gt;0,ISNUMBER(G360)),G360/F360,"")</f>
        <v/>
      </c>
      <c r="J360" s="21">
        <f>IF(OR(A360="",B360=""),"",IF(C360=Yr_Cur,"CY",IF(C360=Yr_Prev,"PY","")))</f>
        <v/>
      </c>
      <c r="K360" s="21">
        <f>IF(J360="","",IF(J360="CY",SUMIFS(Dat_H,Dat_A,A360,Dat_B,B360,Dat_C,Yr_Prev),SUMIFS(Dat_H,Dat_A,A360,Dat_B,B360,Dat_C,Yr_Cur)))</f>
        <v/>
      </c>
      <c r="L360" s="21">
        <f>IF(J360="",0,IF(AND(ISNUMBER(H360),N(K360)&gt;0,ISNUMBER(F360),ISNUMBER(G360),OR(Sel_Market="All markets",A360=Sel_Market),COUNTIFS(Control!$B$11:$B$13,B360,Control!$C$11:$C$13,"Yes")&gt;0),1,0))</f>
        <v/>
      </c>
      <c r="M360" s="21">
        <f>IF(L360=1,IF(J360="CY",H360,K360),"")</f>
        <v/>
      </c>
      <c r="N360" s="21">
        <f>IF(L360=1,IF(J360="PY",H360,K360),"")</f>
        <v/>
      </c>
      <c r="O360" s="23">
        <f>IF(L360=1,IF(J360="PY",F360*M360/N360,F360),0)</f>
        <v/>
      </c>
      <c r="P360" s="23">
        <f>IF(L360=1,IF(J360="PY",G360*M360/N360,G360),0)</f>
        <v/>
      </c>
      <c r="Q360" s="23">
        <f>IF(AND(L360=1,J360="PY"),F360*(N360-M360)/N360,0)</f>
        <v/>
      </c>
      <c r="R360" s="23">
        <f>IF(AND(L360=1,J360="PY"),G360*(N360-M360)/N360,0)</f>
        <v/>
      </c>
      <c r="S360" s="21">
        <f>IF(COUNTA(A360:G360)=0,"",IF(OR(A360="",B360="",NOT(ISNUMBER(C360))),"Fill market, product and year",IF(COUNTIF(Control!$B$11:$B$13,B360)=0,"Unknown product",IF(COUNTIFS(Dat_A,A360,Dat_B,B360,Dat_C,C360)&gt;1,"Duplicate market/product/year",IF(OR(NOT(ISNUMBER(D360)),NOT(ISNUMBER(E360))),"Add launch date and Data through date",IF(E360&lt;D360,"Data through is before launch",IF(OR(NOT(ISNUMBER(F360)),NOT(ISNUMBER(G360))),"Add units and revenue","OK")))))))</f>
        <v/>
      </c>
    </row>
    <row r="361">
      <c r="A361" s="17" t="n"/>
      <c r="B361" s="17" t="n"/>
      <c r="C361" s="17" t="n"/>
      <c r="D361" s="18" t="n"/>
      <c r="E361" s="18" t="n"/>
      <c r="F361" s="19" t="n"/>
      <c r="G361" s="20" t="n"/>
      <c r="H361" s="21">
        <f>IF(AND(ISNUMBER(D361),ISNUMBER(E361)),E361-D361+1,"")</f>
        <v/>
      </c>
      <c r="I361" s="22">
        <f>IF(AND(ISNUMBER(F361),N(F361)&gt;0,ISNUMBER(G361)),G361/F361,"")</f>
        <v/>
      </c>
      <c r="J361" s="21">
        <f>IF(OR(A361="",B361=""),"",IF(C361=Yr_Cur,"CY",IF(C361=Yr_Prev,"PY","")))</f>
        <v/>
      </c>
      <c r="K361" s="21">
        <f>IF(J361="","",IF(J361="CY",SUMIFS(Dat_H,Dat_A,A361,Dat_B,B361,Dat_C,Yr_Prev),SUMIFS(Dat_H,Dat_A,A361,Dat_B,B361,Dat_C,Yr_Cur)))</f>
        <v/>
      </c>
      <c r="L361" s="21">
        <f>IF(J361="",0,IF(AND(ISNUMBER(H361),N(K361)&gt;0,ISNUMBER(F361),ISNUMBER(G361),OR(Sel_Market="All markets",A361=Sel_Market),COUNTIFS(Control!$B$11:$B$13,B361,Control!$C$11:$C$13,"Yes")&gt;0),1,0))</f>
        <v/>
      </c>
      <c r="M361" s="21">
        <f>IF(L361=1,IF(J361="CY",H361,K361),"")</f>
        <v/>
      </c>
      <c r="N361" s="21">
        <f>IF(L361=1,IF(J361="PY",H361,K361),"")</f>
        <v/>
      </c>
      <c r="O361" s="23">
        <f>IF(L361=1,IF(J361="PY",F361*M361/N361,F361),0)</f>
        <v/>
      </c>
      <c r="P361" s="23">
        <f>IF(L361=1,IF(J361="PY",G361*M361/N361,G361),0)</f>
        <v/>
      </c>
      <c r="Q361" s="23">
        <f>IF(AND(L361=1,J361="PY"),F361*(N361-M361)/N361,0)</f>
        <v/>
      </c>
      <c r="R361" s="23">
        <f>IF(AND(L361=1,J361="PY"),G361*(N361-M361)/N361,0)</f>
        <v/>
      </c>
      <c r="S361" s="21">
        <f>IF(COUNTA(A361:G361)=0,"",IF(OR(A361="",B361="",NOT(ISNUMBER(C361))),"Fill market, product and year",IF(COUNTIF(Control!$B$11:$B$13,B361)=0,"Unknown product",IF(COUNTIFS(Dat_A,A361,Dat_B,B361,Dat_C,C361)&gt;1,"Duplicate market/product/year",IF(OR(NOT(ISNUMBER(D361)),NOT(ISNUMBER(E361))),"Add launch date and Data through date",IF(E361&lt;D361,"Data through is before launch",IF(OR(NOT(ISNUMBER(F361)),NOT(ISNUMBER(G361))),"Add units and revenue","OK")))))))</f>
        <v/>
      </c>
    </row>
    <row r="362">
      <c r="A362" s="17" t="n"/>
      <c r="B362" s="17" t="n"/>
      <c r="C362" s="17" t="n"/>
      <c r="D362" s="18" t="n"/>
      <c r="E362" s="18" t="n"/>
      <c r="F362" s="19" t="n"/>
      <c r="G362" s="20" t="n"/>
      <c r="H362" s="21">
        <f>IF(AND(ISNUMBER(D362),ISNUMBER(E362)),E362-D362+1,"")</f>
        <v/>
      </c>
      <c r="I362" s="22">
        <f>IF(AND(ISNUMBER(F362),N(F362)&gt;0,ISNUMBER(G362)),G362/F362,"")</f>
        <v/>
      </c>
      <c r="J362" s="21">
        <f>IF(OR(A362="",B362=""),"",IF(C362=Yr_Cur,"CY",IF(C362=Yr_Prev,"PY","")))</f>
        <v/>
      </c>
      <c r="K362" s="21">
        <f>IF(J362="","",IF(J362="CY",SUMIFS(Dat_H,Dat_A,A362,Dat_B,B362,Dat_C,Yr_Prev),SUMIFS(Dat_H,Dat_A,A362,Dat_B,B362,Dat_C,Yr_Cur)))</f>
        <v/>
      </c>
      <c r="L362" s="21">
        <f>IF(J362="",0,IF(AND(ISNUMBER(H362),N(K362)&gt;0,ISNUMBER(F362),ISNUMBER(G362),OR(Sel_Market="All markets",A362=Sel_Market),COUNTIFS(Control!$B$11:$B$13,B362,Control!$C$11:$C$13,"Yes")&gt;0),1,0))</f>
        <v/>
      </c>
      <c r="M362" s="21">
        <f>IF(L362=1,IF(J362="CY",H362,K362),"")</f>
        <v/>
      </c>
      <c r="N362" s="21">
        <f>IF(L362=1,IF(J362="PY",H362,K362),"")</f>
        <v/>
      </c>
      <c r="O362" s="23">
        <f>IF(L362=1,IF(J362="PY",F362*M362/N362,F362),0)</f>
        <v/>
      </c>
      <c r="P362" s="23">
        <f>IF(L362=1,IF(J362="PY",G362*M362/N362,G362),0)</f>
        <v/>
      </c>
      <c r="Q362" s="23">
        <f>IF(AND(L362=1,J362="PY"),F362*(N362-M362)/N362,0)</f>
        <v/>
      </c>
      <c r="R362" s="23">
        <f>IF(AND(L362=1,J362="PY"),G362*(N362-M362)/N362,0)</f>
        <v/>
      </c>
      <c r="S362" s="21">
        <f>IF(COUNTA(A362:G362)=0,"",IF(OR(A362="",B362="",NOT(ISNUMBER(C362))),"Fill market, product and year",IF(COUNTIF(Control!$B$11:$B$13,B362)=0,"Unknown product",IF(COUNTIFS(Dat_A,A362,Dat_B,B362,Dat_C,C362)&gt;1,"Duplicate market/product/year",IF(OR(NOT(ISNUMBER(D362)),NOT(ISNUMBER(E362))),"Add launch date and Data through date",IF(E362&lt;D362,"Data through is before launch",IF(OR(NOT(ISNUMBER(F362)),NOT(ISNUMBER(G362))),"Add units and revenue","OK")))))))</f>
        <v/>
      </c>
    </row>
    <row r="363">
      <c r="A363" s="17" t="n"/>
      <c r="B363" s="17" t="n"/>
      <c r="C363" s="17" t="n"/>
      <c r="D363" s="18" t="n"/>
      <c r="E363" s="18" t="n"/>
      <c r="F363" s="19" t="n"/>
      <c r="G363" s="20" t="n"/>
      <c r="H363" s="21">
        <f>IF(AND(ISNUMBER(D363),ISNUMBER(E363)),E363-D363+1,"")</f>
        <v/>
      </c>
      <c r="I363" s="22">
        <f>IF(AND(ISNUMBER(F363),N(F363)&gt;0,ISNUMBER(G363)),G363/F363,"")</f>
        <v/>
      </c>
      <c r="J363" s="21">
        <f>IF(OR(A363="",B363=""),"",IF(C363=Yr_Cur,"CY",IF(C363=Yr_Prev,"PY","")))</f>
        <v/>
      </c>
      <c r="K363" s="21">
        <f>IF(J363="","",IF(J363="CY",SUMIFS(Dat_H,Dat_A,A363,Dat_B,B363,Dat_C,Yr_Prev),SUMIFS(Dat_H,Dat_A,A363,Dat_B,B363,Dat_C,Yr_Cur)))</f>
        <v/>
      </c>
      <c r="L363" s="21">
        <f>IF(J363="",0,IF(AND(ISNUMBER(H363),N(K363)&gt;0,ISNUMBER(F363),ISNUMBER(G363),OR(Sel_Market="All markets",A363=Sel_Market),COUNTIFS(Control!$B$11:$B$13,B363,Control!$C$11:$C$13,"Yes")&gt;0),1,0))</f>
        <v/>
      </c>
      <c r="M363" s="21">
        <f>IF(L363=1,IF(J363="CY",H363,K363),"")</f>
        <v/>
      </c>
      <c r="N363" s="21">
        <f>IF(L363=1,IF(J363="PY",H363,K363),"")</f>
        <v/>
      </c>
      <c r="O363" s="23">
        <f>IF(L363=1,IF(J363="PY",F363*M363/N363,F363),0)</f>
        <v/>
      </c>
      <c r="P363" s="23">
        <f>IF(L363=1,IF(J363="PY",G363*M363/N363,G363),0)</f>
        <v/>
      </c>
      <c r="Q363" s="23">
        <f>IF(AND(L363=1,J363="PY"),F363*(N363-M363)/N363,0)</f>
        <v/>
      </c>
      <c r="R363" s="23">
        <f>IF(AND(L363=1,J363="PY"),G363*(N363-M363)/N363,0)</f>
        <v/>
      </c>
      <c r="S363" s="21">
        <f>IF(COUNTA(A363:G363)=0,"",IF(OR(A363="",B363="",NOT(ISNUMBER(C363))),"Fill market, product and year",IF(COUNTIF(Control!$B$11:$B$13,B363)=0,"Unknown product",IF(COUNTIFS(Dat_A,A363,Dat_B,B363,Dat_C,C363)&gt;1,"Duplicate market/product/year",IF(OR(NOT(ISNUMBER(D363)),NOT(ISNUMBER(E363))),"Add launch date and Data through date",IF(E363&lt;D363,"Data through is before launch",IF(OR(NOT(ISNUMBER(F363)),NOT(ISNUMBER(G363))),"Add units and revenue","OK")))))))</f>
        <v/>
      </c>
    </row>
    <row r="364">
      <c r="A364" s="17" t="n"/>
      <c r="B364" s="17" t="n"/>
      <c r="C364" s="17" t="n"/>
      <c r="D364" s="18" t="n"/>
      <c r="E364" s="18" t="n"/>
      <c r="F364" s="19" t="n"/>
      <c r="G364" s="20" t="n"/>
      <c r="H364" s="21">
        <f>IF(AND(ISNUMBER(D364),ISNUMBER(E364)),E364-D364+1,"")</f>
        <v/>
      </c>
      <c r="I364" s="22">
        <f>IF(AND(ISNUMBER(F364),N(F364)&gt;0,ISNUMBER(G364)),G364/F364,"")</f>
        <v/>
      </c>
      <c r="J364" s="21">
        <f>IF(OR(A364="",B364=""),"",IF(C364=Yr_Cur,"CY",IF(C364=Yr_Prev,"PY","")))</f>
        <v/>
      </c>
      <c r="K364" s="21">
        <f>IF(J364="","",IF(J364="CY",SUMIFS(Dat_H,Dat_A,A364,Dat_B,B364,Dat_C,Yr_Prev),SUMIFS(Dat_H,Dat_A,A364,Dat_B,B364,Dat_C,Yr_Cur)))</f>
        <v/>
      </c>
      <c r="L364" s="21">
        <f>IF(J364="",0,IF(AND(ISNUMBER(H364),N(K364)&gt;0,ISNUMBER(F364),ISNUMBER(G364),OR(Sel_Market="All markets",A364=Sel_Market),COUNTIFS(Control!$B$11:$B$13,B364,Control!$C$11:$C$13,"Yes")&gt;0),1,0))</f>
        <v/>
      </c>
      <c r="M364" s="21">
        <f>IF(L364=1,IF(J364="CY",H364,K364),"")</f>
        <v/>
      </c>
      <c r="N364" s="21">
        <f>IF(L364=1,IF(J364="PY",H364,K364),"")</f>
        <v/>
      </c>
      <c r="O364" s="23">
        <f>IF(L364=1,IF(J364="PY",F364*M364/N364,F364),0)</f>
        <v/>
      </c>
      <c r="P364" s="23">
        <f>IF(L364=1,IF(J364="PY",G364*M364/N364,G364),0)</f>
        <v/>
      </c>
      <c r="Q364" s="23">
        <f>IF(AND(L364=1,J364="PY"),F364*(N364-M364)/N364,0)</f>
        <v/>
      </c>
      <c r="R364" s="23">
        <f>IF(AND(L364=1,J364="PY"),G364*(N364-M364)/N364,0)</f>
        <v/>
      </c>
      <c r="S364" s="21">
        <f>IF(COUNTA(A364:G364)=0,"",IF(OR(A364="",B364="",NOT(ISNUMBER(C364))),"Fill market, product and year",IF(COUNTIF(Control!$B$11:$B$13,B364)=0,"Unknown product",IF(COUNTIFS(Dat_A,A364,Dat_B,B364,Dat_C,C364)&gt;1,"Duplicate market/product/year",IF(OR(NOT(ISNUMBER(D364)),NOT(ISNUMBER(E364))),"Add launch date and Data through date",IF(E364&lt;D364,"Data through is before launch",IF(OR(NOT(ISNUMBER(F364)),NOT(ISNUMBER(G364))),"Add units and revenue","OK")))))))</f>
        <v/>
      </c>
    </row>
    <row r="365">
      <c r="A365" s="17" t="n"/>
      <c r="B365" s="17" t="n"/>
      <c r="C365" s="17" t="n"/>
      <c r="D365" s="18" t="n"/>
      <c r="E365" s="18" t="n"/>
      <c r="F365" s="19" t="n"/>
      <c r="G365" s="20" t="n"/>
      <c r="H365" s="21">
        <f>IF(AND(ISNUMBER(D365),ISNUMBER(E365)),E365-D365+1,"")</f>
        <v/>
      </c>
      <c r="I365" s="22">
        <f>IF(AND(ISNUMBER(F365),N(F365)&gt;0,ISNUMBER(G365)),G365/F365,"")</f>
        <v/>
      </c>
      <c r="J365" s="21">
        <f>IF(OR(A365="",B365=""),"",IF(C365=Yr_Cur,"CY",IF(C365=Yr_Prev,"PY","")))</f>
        <v/>
      </c>
      <c r="K365" s="21">
        <f>IF(J365="","",IF(J365="CY",SUMIFS(Dat_H,Dat_A,A365,Dat_B,B365,Dat_C,Yr_Prev),SUMIFS(Dat_H,Dat_A,A365,Dat_B,B365,Dat_C,Yr_Cur)))</f>
        <v/>
      </c>
      <c r="L365" s="21">
        <f>IF(J365="",0,IF(AND(ISNUMBER(H365),N(K365)&gt;0,ISNUMBER(F365),ISNUMBER(G365),OR(Sel_Market="All markets",A365=Sel_Market),COUNTIFS(Control!$B$11:$B$13,B365,Control!$C$11:$C$13,"Yes")&gt;0),1,0))</f>
        <v/>
      </c>
      <c r="M365" s="21">
        <f>IF(L365=1,IF(J365="CY",H365,K365),"")</f>
        <v/>
      </c>
      <c r="N365" s="21">
        <f>IF(L365=1,IF(J365="PY",H365,K365),"")</f>
        <v/>
      </c>
      <c r="O365" s="23">
        <f>IF(L365=1,IF(J365="PY",F365*M365/N365,F365),0)</f>
        <v/>
      </c>
      <c r="P365" s="23">
        <f>IF(L365=1,IF(J365="PY",G365*M365/N365,G365),0)</f>
        <v/>
      </c>
      <c r="Q365" s="23">
        <f>IF(AND(L365=1,J365="PY"),F365*(N365-M365)/N365,0)</f>
        <v/>
      </c>
      <c r="R365" s="23">
        <f>IF(AND(L365=1,J365="PY"),G365*(N365-M365)/N365,0)</f>
        <v/>
      </c>
      <c r="S365" s="21">
        <f>IF(COUNTA(A365:G365)=0,"",IF(OR(A365="",B365="",NOT(ISNUMBER(C365))),"Fill market, product and year",IF(COUNTIF(Control!$B$11:$B$13,B365)=0,"Unknown product",IF(COUNTIFS(Dat_A,A365,Dat_B,B365,Dat_C,C365)&gt;1,"Duplicate market/product/year",IF(OR(NOT(ISNUMBER(D365)),NOT(ISNUMBER(E365))),"Add launch date and Data through date",IF(E365&lt;D365,"Data through is before launch",IF(OR(NOT(ISNUMBER(F365)),NOT(ISNUMBER(G365))),"Add units and revenue","OK")))))))</f>
        <v/>
      </c>
    </row>
    <row r="366">
      <c r="A366" s="17" t="n"/>
      <c r="B366" s="17" t="n"/>
      <c r="C366" s="17" t="n"/>
      <c r="D366" s="18" t="n"/>
      <c r="E366" s="18" t="n"/>
      <c r="F366" s="19" t="n"/>
      <c r="G366" s="20" t="n"/>
      <c r="H366" s="21">
        <f>IF(AND(ISNUMBER(D366),ISNUMBER(E366)),E366-D366+1,"")</f>
        <v/>
      </c>
      <c r="I366" s="22">
        <f>IF(AND(ISNUMBER(F366),N(F366)&gt;0,ISNUMBER(G366)),G366/F366,"")</f>
        <v/>
      </c>
      <c r="J366" s="21">
        <f>IF(OR(A366="",B366=""),"",IF(C366=Yr_Cur,"CY",IF(C366=Yr_Prev,"PY","")))</f>
        <v/>
      </c>
      <c r="K366" s="21">
        <f>IF(J366="","",IF(J366="CY",SUMIFS(Dat_H,Dat_A,A366,Dat_B,B366,Dat_C,Yr_Prev),SUMIFS(Dat_H,Dat_A,A366,Dat_B,B366,Dat_C,Yr_Cur)))</f>
        <v/>
      </c>
      <c r="L366" s="21">
        <f>IF(J366="",0,IF(AND(ISNUMBER(H366),N(K366)&gt;0,ISNUMBER(F366),ISNUMBER(G366),OR(Sel_Market="All markets",A366=Sel_Market),COUNTIFS(Control!$B$11:$B$13,B366,Control!$C$11:$C$13,"Yes")&gt;0),1,0))</f>
        <v/>
      </c>
      <c r="M366" s="21">
        <f>IF(L366=1,IF(J366="CY",H366,K366),"")</f>
        <v/>
      </c>
      <c r="N366" s="21">
        <f>IF(L366=1,IF(J366="PY",H366,K366),"")</f>
        <v/>
      </c>
      <c r="O366" s="23">
        <f>IF(L366=1,IF(J366="PY",F366*M366/N366,F366),0)</f>
        <v/>
      </c>
      <c r="P366" s="23">
        <f>IF(L366=1,IF(J366="PY",G366*M366/N366,G366),0)</f>
        <v/>
      </c>
      <c r="Q366" s="23">
        <f>IF(AND(L366=1,J366="PY"),F366*(N366-M366)/N366,0)</f>
        <v/>
      </c>
      <c r="R366" s="23">
        <f>IF(AND(L366=1,J366="PY"),G366*(N366-M366)/N366,0)</f>
        <v/>
      </c>
      <c r="S366" s="21">
        <f>IF(COUNTA(A366:G366)=0,"",IF(OR(A366="",B366="",NOT(ISNUMBER(C366))),"Fill market, product and year",IF(COUNTIF(Control!$B$11:$B$13,B366)=0,"Unknown product",IF(COUNTIFS(Dat_A,A366,Dat_B,B366,Dat_C,C366)&gt;1,"Duplicate market/product/year",IF(OR(NOT(ISNUMBER(D366)),NOT(ISNUMBER(E366))),"Add launch date and Data through date",IF(E366&lt;D366,"Data through is before launch",IF(OR(NOT(ISNUMBER(F366)),NOT(ISNUMBER(G366))),"Add units and revenue","OK")))))))</f>
        <v/>
      </c>
    </row>
    <row r="367">
      <c r="A367" s="17" t="n"/>
      <c r="B367" s="17" t="n"/>
      <c r="C367" s="17" t="n"/>
      <c r="D367" s="18" t="n"/>
      <c r="E367" s="18" t="n"/>
      <c r="F367" s="19" t="n"/>
      <c r="G367" s="20" t="n"/>
      <c r="H367" s="21">
        <f>IF(AND(ISNUMBER(D367),ISNUMBER(E367)),E367-D367+1,"")</f>
        <v/>
      </c>
      <c r="I367" s="22">
        <f>IF(AND(ISNUMBER(F367),N(F367)&gt;0,ISNUMBER(G367)),G367/F367,"")</f>
        <v/>
      </c>
      <c r="J367" s="21">
        <f>IF(OR(A367="",B367=""),"",IF(C367=Yr_Cur,"CY",IF(C367=Yr_Prev,"PY","")))</f>
        <v/>
      </c>
      <c r="K367" s="21">
        <f>IF(J367="","",IF(J367="CY",SUMIFS(Dat_H,Dat_A,A367,Dat_B,B367,Dat_C,Yr_Prev),SUMIFS(Dat_H,Dat_A,A367,Dat_B,B367,Dat_C,Yr_Cur)))</f>
        <v/>
      </c>
      <c r="L367" s="21">
        <f>IF(J367="",0,IF(AND(ISNUMBER(H367),N(K367)&gt;0,ISNUMBER(F367),ISNUMBER(G367),OR(Sel_Market="All markets",A367=Sel_Market),COUNTIFS(Control!$B$11:$B$13,B367,Control!$C$11:$C$13,"Yes")&gt;0),1,0))</f>
        <v/>
      </c>
      <c r="M367" s="21">
        <f>IF(L367=1,IF(J367="CY",H367,K367),"")</f>
        <v/>
      </c>
      <c r="N367" s="21">
        <f>IF(L367=1,IF(J367="PY",H367,K367),"")</f>
        <v/>
      </c>
      <c r="O367" s="23">
        <f>IF(L367=1,IF(J367="PY",F367*M367/N367,F367),0)</f>
        <v/>
      </c>
      <c r="P367" s="23">
        <f>IF(L367=1,IF(J367="PY",G367*M367/N367,G367),0)</f>
        <v/>
      </c>
      <c r="Q367" s="23">
        <f>IF(AND(L367=1,J367="PY"),F367*(N367-M367)/N367,0)</f>
        <v/>
      </c>
      <c r="R367" s="23">
        <f>IF(AND(L367=1,J367="PY"),G367*(N367-M367)/N367,0)</f>
        <v/>
      </c>
      <c r="S367" s="21">
        <f>IF(COUNTA(A367:G367)=0,"",IF(OR(A367="",B367="",NOT(ISNUMBER(C367))),"Fill market, product and year",IF(COUNTIF(Control!$B$11:$B$13,B367)=0,"Unknown product",IF(COUNTIFS(Dat_A,A367,Dat_B,B367,Dat_C,C367)&gt;1,"Duplicate market/product/year",IF(OR(NOT(ISNUMBER(D367)),NOT(ISNUMBER(E367))),"Add launch date and Data through date",IF(E367&lt;D367,"Data through is before launch",IF(OR(NOT(ISNUMBER(F367)),NOT(ISNUMBER(G367))),"Add units and revenue","OK")))))))</f>
        <v/>
      </c>
    </row>
    <row r="368">
      <c r="A368" s="17" t="n"/>
      <c r="B368" s="17" t="n"/>
      <c r="C368" s="17" t="n"/>
      <c r="D368" s="18" t="n"/>
      <c r="E368" s="18" t="n"/>
      <c r="F368" s="19" t="n"/>
      <c r="G368" s="20" t="n"/>
      <c r="H368" s="21">
        <f>IF(AND(ISNUMBER(D368),ISNUMBER(E368)),E368-D368+1,"")</f>
        <v/>
      </c>
      <c r="I368" s="22">
        <f>IF(AND(ISNUMBER(F368),N(F368)&gt;0,ISNUMBER(G368)),G368/F368,"")</f>
        <v/>
      </c>
      <c r="J368" s="21">
        <f>IF(OR(A368="",B368=""),"",IF(C368=Yr_Cur,"CY",IF(C368=Yr_Prev,"PY","")))</f>
        <v/>
      </c>
      <c r="K368" s="21">
        <f>IF(J368="","",IF(J368="CY",SUMIFS(Dat_H,Dat_A,A368,Dat_B,B368,Dat_C,Yr_Prev),SUMIFS(Dat_H,Dat_A,A368,Dat_B,B368,Dat_C,Yr_Cur)))</f>
        <v/>
      </c>
      <c r="L368" s="21">
        <f>IF(J368="",0,IF(AND(ISNUMBER(H368),N(K368)&gt;0,ISNUMBER(F368),ISNUMBER(G368),OR(Sel_Market="All markets",A368=Sel_Market),COUNTIFS(Control!$B$11:$B$13,B368,Control!$C$11:$C$13,"Yes")&gt;0),1,0))</f>
        <v/>
      </c>
      <c r="M368" s="21">
        <f>IF(L368=1,IF(J368="CY",H368,K368),"")</f>
        <v/>
      </c>
      <c r="N368" s="21">
        <f>IF(L368=1,IF(J368="PY",H368,K368),"")</f>
        <v/>
      </c>
      <c r="O368" s="23">
        <f>IF(L368=1,IF(J368="PY",F368*M368/N368,F368),0)</f>
        <v/>
      </c>
      <c r="P368" s="23">
        <f>IF(L368=1,IF(J368="PY",G368*M368/N368,G368),0)</f>
        <v/>
      </c>
      <c r="Q368" s="23">
        <f>IF(AND(L368=1,J368="PY"),F368*(N368-M368)/N368,0)</f>
        <v/>
      </c>
      <c r="R368" s="23">
        <f>IF(AND(L368=1,J368="PY"),G368*(N368-M368)/N368,0)</f>
        <v/>
      </c>
      <c r="S368" s="21">
        <f>IF(COUNTA(A368:G368)=0,"",IF(OR(A368="",B368="",NOT(ISNUMBER(C368))),"Fill market, product and year",IF(COUNTIF(Control!$B$11:$B$13,B368)=0,"Unknown product",IF(COUNTIFS(Dat_A,A368,Dat_B,B368,Dat_C,C368)&gt;1,"Duplicate market/product/year",IF(OR(NOT(ISNUMBER(D368)),NOT(ISNUMBER(E368))),"Add launch date and Data through date",IF(E368&lt;D368,"Data through is before launch",IF(OR(NOT(ISNUMBER(F368)),NOT(ISNUMBER(G368))),"Add units and revenue","OK")))))))</f>
        <v/>
      </c>
    </row>
    <row r="369">
      <c r="A369" s="17" t="n"/>
      <c r="B369" s="17" t="n"/>
      <c r="C369" s="17" t="n"/>
      <c r="D369" s="18" t="n"/>
      <c r="E369" s="18" t="n"/>
      <c r="F369" s="19" t="n"/>
      <c r="G369" s="20" t="n"/>
      <c r="H369" s="21">
        <f>IF(AND(ISNUMBER(D369),ISNUMBER(E369)),E369-D369+1,"")</f>
        <v/>
      </c>
      <c r="I369" s="22">
        <f>IF(AND(ISNUMBER(F369),N(F369)&gt;0,ISNUMBER(G369)),G369/F369,"")</f>
        <v/>
      </c>
      <c r="J369" s="21">
        <f>IF(OR(A369="",B369=""),"",IF(C369=Yr_Cur,"CY",IF(C369=Yr_Prev,"PY","")))</f>
        <v/>
      </c>
      <c r="K369" s="21">
        <f>IF(J369="","",IF(J369="CY",SUMIFS(Dat_H,Dat_A,A369,Dat_B,B369,Dat_C,Yr_Prev),SUMIFS(Dat_H,Dat_A,A369,Dat_B,B369,Dat_C,Yr_Cur)))</f>
        <v/>
      </c>
      <c r="L369" s="21">
        <f>IF(J369="",0,IF(AND(ISNUMBER(H369),N(K369)&gt;0,ISNUMBER(F369),ISNUMBER(G369),OR(Sel_Market="All markets",A369=Sel_Market),COUNTIFS(Control!$B$11:$B$13,B369,Control!$C$11:$C$13,"Yes")&gt;0),1,0))</f>
        <v/>
      </c>
      <c r="M369" s="21">
        <f>IF(L369=1,IF(J369="CY",H369,K369),"")</f>
        <v/>
      </c>
      <c r="N369" s="21">
        <f>IF(L369=1,IF(J369="PY",H369,K369),"")</f>
        <v/>
      </c>
      <c r="O369" s="23">
        <f>IF(L369=1,IF(J369="PY",F369*M369/N369,F369),0)</f>
        <v/>
      </c>
      <c r="P369" s="23">
        <f>IF(L369=1,IF(J369="PY",G369*M369/N369,G369),0)</f>
        <v/>
      </c>
      <c r="Q369" s="23">
        <f>IF(AND(L369=1,J369="PY"),F369*(N369-M369)/N369,0)</f>
        <v/>
      </c>
      <c r="R369" s="23">
        <f>IF(AND(L369=1,J369="PY"),G369*(N369-M369)/N369,0)</f>
        <v/>
      </c>
      <c r="S369" s="21">
        <f>IF(COUNTA(A369:G369)=0,"",IF(OR(A369="",B369="",NOT(ISNUMBER(C369))),"Fill market, product and year",IF(COUNTIF(Control!$B$11:$B$13,B369)=0,"Unknown product",IF(COUNTIFS(Dat_A,A369,Dat_B,B369,Dat_C,C369)&gt;1,"Duplicate market/product/year",IF(OR(NOT(ISNUMBER(D369)),NOT(ISNUMBER(E369))),"Add launch date and Data through date",IF(E369&lt;D369,"Data through is before launch",IF(OR(NOT(ISNUMBER(F369)),NOT(ISNUMBER(G369))),"Add units and revenue","OK")))))))</f>
        <v/>
      </c>
    </row>
    <row r="370">
      <c r="A370" s="17" t="n"/>
      <c r="B370" s="17" t="n"/>
      <c r="C370" s="17" t="n"/>
      <c r="D370" s="18" t="n"/>
      <c r="E370" s="18" t="n"/>
      <c r="F370" s="19" t="n"/>
      <c r="G370" s="20" t="n"/>
      <c r="H370" s="21">
        <f>IF(AND(ISNUMBER(D370),ISNUMBER(E370)),E370-D370+1,"")</f>
        <v/>
      </c>
      <c r="I370" s="22">
        <f>IF(AND(ISNUMBER(F370),N(F370)&gt;0,ISNUMBER(G370)),G370/F370,"")</f>
        <v/>
      </c>
      <c r="J370" s="21">
        <f>IF(OR(A370="",B370=""),"",IF(C370=Yr_Cur,"CY",IF(C370=Yr_Prev,"PY","")))</f>
        <v/>
      </c>
      <c r="K370" s="21">
        <f>IF(J370="","",IF(J370="CY",SUMIFS(Dat_H,Dat_A,A370,Dat_B,B370,Dat_C,Yr_Prev),SUMIFS(Dat_H,Dat_A,A370,Dat_B,B370,Dat_C,Yr_Cur)))</f>
        <v/>
      </c>
      <c r="L370" s="21">
        <f>IF(J370="",0,IF(AND(ISNUMBER(H370),N(K370)&gt;0,ISNUMBER(F370),ISNUMBER(G370),OR(Sel_Market="All markets",A370=Sel_Market),COUNTIFS(Control!$B$11:$B$13,B370,Control!$C$11:$C$13,"Yes")&gt;0),1,0))</f>
        <v/>
      </c>
      <c r="M370" s="21">
        <f>IF(L370=1,IF(J370="CY",H370,K370),"")</f>
        <v/>
      </c>
      <c r="N370" s="21">
        <f>IF(L370=1,IF(J370="PY",H370,K370),"")</f>
        <v/>
      </c>
      <c r="O370" s="23">
        <f>IF(L370=1,IF(J370="PY",F370*M370/N370,F370),0)</f>
        <v/>
      </c>
      <c r="P370" s="23">
        <f>IF(L370=1,IF(J370="PY",G370*M370/N370,G370),0)</f>
        <v/>
      </c>
      <c r="Q370" s="23">
        <f>IF(AND(L370=1,J370="PY"),F370*(N370-M370)/N370,0)</f>
        <v/>
      </c>
      <c r="R370" s="23">
        <f>IF(AND(L370=1,J370="PY"),G370*(N370-M370)/N370,0)</f>
        <v/>
      </c>
      <c r="S370" s="21">
        <f>IF(COUNTA(A370:G370)=0,"",IF(OR(A370="",B370="",NOT(ISNUMBER(C370))),"Fill market, product and year",IF(COUNTIF(Control!$B$11:$B$13,B370)=0,"Unknown product",IF(COUNTIFS(Dat_A,A370,Dat_B,B370,Dat_C,C370)&gt;1,"Duplicate market/product/year",IF(OR(NOT(ISNUMBER(D370)),NOT(ISNUMBER(E370))),"Add launch date and Data through date",IF(E370&lt;D370,"Data through is before launch",IF(OR(NOT(ISNUMBER(F370)),NOT(ISNUMBER(G370))),"Add units and revenue","OK")))))))</f>
        <v/>
      </c>
    </row>
    <row r="371">
      <c r="A371" s="17" t="n"/>
      <c r="B371" s="17" t="n"/>
      <c r="C371" s="17" t="n"/>
      <c r="D371" s="18" t="n"/>
      <c r="E371" s="18" t="n"/>
      <c r="F371" s="19" t="n"/>
      <c r="G371" s="20" t="n"/>
      <c r="H371" s="21">
        <f>IF(AND(ISNUMBER(D371),ISNUMBER(E371)),E371-D371+1,"")</f>
        <v/>
      </c>
      <c r="I371" s="22">
        <f>IF(AND(ISNUMBER(F371),N(F371)&gt;0,ISNUMBER(G371)),G371/F371,"")</f>
        <v/>
      </c>
      <c r="J371" s="21">
        <f>IF(OR(A371="",B371=""),"",IF(C371=Yr_Cur,"CY",IF(C371=Yr_Prev,"PY","")))</f>
        <v/>
      </c>
      <c r="K371" s="21">
        <f>IF(J371="","",IF(J371="CY",SUMIFS(Dat_H,Dat_A,A371,Dat_B,B371,Dat_C,Yr_Prev),SUMIFS(Dat_H,Dat_A,A371,Dat_B,B371,Dat_C,Yr_Cur)))</f>
        <v/>
      </c>
      <c r="L371" s="21">
        <f>IF(J371="",0,IF(AND(ISNUMBER(H371),N(K371)&gt;0,ISNUMBER(F371),ISNUMBER(G371),OR(Sel_Market="All markets",A371=Sel_Market),COUNTIFS(Control!$B$11:$B$13,B371,Control!$C$11:$C$13,"Yes")&gt;0),1,0))</f>
        <v/>
      </c>
      <c r="M371" s="21">
        <f>IF(L371=1,IF(J371="CY",H371,K371),"")</f>
        <v/>
      </c>
      <c r="N371" s="21">
        <f>IF(L371=1,IF(J371="PY",H371,K371),"")</f>
        <v/>
      </c>
      <c r="O371" s="23">
        <f>IF(L371=1,IF(J371="PY",F371*M371/N371,F371),0)</f>
        <v/>
      </c>
      <c r="P371" s="23">
        <f>IF(L371=1,IF(J371="PY",G371*M371/N371,G371),0)</f>
        <v/>
      </c>
      <c r="Q371" s="23">
        <f>IF(AND(L371=1,J371="PY"),F371*(N371-M371)/N371,0)</f>
        <v/>
      </c>
      <c r="R371" s="23">
        <f>IF(AND(L371=1,J371="PY"),G371*(N371-M371)/N371,0)</f>
        <v/>
      </c>
      <c r="S371" s="21">
        <f>IF(COUNTA(A371:G371)=0,"",IF(OR(A371="",B371="",NOT(ISNUMBER(C371))),"Fill market, product and year",IF(COUNTIF(Control!$B$11:$B$13,B371)=0,"Unknown product",IF(COUNTIFS(Dat_A,A371,Dat_B,B371,Dat_C,C371)&gt;1,"Duplicate market/product/year",IF(OR(NOT(ISNUMBER(D371)),NOT(ISNUMBER(E371))),"Add launch date and Data through date",IF(E371&lt;D371,"Data through is before launch",IF(OR(NOT(ISNUMBER(F371)),NOT(ISNUMBER(G371))),"Add units and revenue","OK")))))))</f>
        <v/>
      </c>
    </row>
    <row r="372">
      <c r="A372" s="17" t="n"/>
      <c r="B372" s="17" t="n"/>
      <c r="C372" s="17" t="n"/>
      <c r="D372" s="18" t="n"/>
      <c r="E372" s="18" t="n"/>
      <c r="F372" s="19" t="n"/>
      <c r="G372" s="20" t="n"/>
      <c r="H372" s="21">
        <f>IF(AND(ISNUMBER(D372),ISNUMBER(E372)),E372-D372+1,"")</f>
        <v/>
      </c>
      <c r="I372" s="22">
        <f>IF(AND(ISNUMBER(F372),N(F372)&gt;0,ISNUMBER(G372)),G372/F372,"")</f>
        <v/>
      </c>
      <c r="J372" s="21">
        <f>IF(OR(A372="",B372=""),"",IF(C372=Yr_Cur,"CY",IF(C372=Yr_Prev,"PY","")))</f>
        <v/>
      </c>
      <c r="K372" s="21">
        <f>IF(J372="","",IF(J372="CY",SUMIFS(Dat_H,Dat_A,A372,Dat_B,B372,Dat_C,Yr_Prev),SUMIFS(Dat_H,Dat_A,A372,Dat_B,B372,Dat_C,Yr_Cur)))</f>
        <v/>
      </c>
      <c r="L372" s="21">
        <f>IF(J372="",0,IF(AND(ISNUMBER(H372),N(K372)&gt;0,ISNUMBER(F372),ISNUMBER(G372),OR(Sel_Market="All markets",A372=Sel_Market),COUNTIFS(Control!$B$11:$B$13,B372,Control!$C$11:$C$13,"Yes")&gt;0),1,0))</f>
        <v/>
      </c>
      <c r="M372" s="21">
        <f>IF(L372=1,IF(J372="CY",H372,K372),"")</f>
        <v/>
      </c>
      <c r="N372" s="21">
        <f>IF(L372=1,IF(J372="PY",H372,K372),"")</f>
        <v/>
      </c>
      <c r="O372" s="23">
        <f>IF(L372=1,IF(J372="PY",F372*M372/N372,F372),0)</f>
        <v/>
      </c>
      <c r="P372" s="23">
        <f>IF(L372=1,IF(J372="PY",G372*M372/N372,G372),0)</f>
        <v/>
      </c>
      <c r="Q372" s="23">
        <f>IF(AND(L372=1,J372="PY"),F372*(N372-M372)/N372,0)</f>
        <v/>
      </c>
      <c r="R372" s="23">
        <f>IF(AND(L372=1,J372="PY"),G372*(N372-M372)/N372,0)</f>
        <v/>
      </c>
      <c r="S372" s="21">
        <f>IF(COUNTA(A372:G372)=0,"",IF(OR(A372="",B372="",NOT(ISNUMBER(C372))),"Fill market, product and year",IF(COUNTIF(Control!$B$11:$B$13,B372)=0,"Unknown product",IF(COUNTIFS(Dat_A,A372,Dat_B,B372,Dat_C,C372)&gt;1,"Duplicate market/product/year",IF(OR(NOT(ISNUMBER(D372)),NOT(ISNUMBER(E372))),"Add launch date and Data through date",IF(E372&lt;D372,"Data through is before launch",IF(OR(NOT(ISNUMBER(F372)),NOT(ISNUMBER(G372))),"Add units and revenue","OK")))))))</f>
        <v/>
      </c>
    </row>
    <row r="373">
      <c r="A373" s="17" t="n"/>
      <c r="B373" s="17" t="n"/>
      <c r="C373" s="17" t="n"/>
      <c r="D373" s="18" t="n"/>
      <c r="E373" s="18" t="n"/>
      <c r="F373" s="19" t="n"/>
      <c r="G373" s="20" t="n"/>
      <c r="H373" s="21">
        <f>IF(AND(ISNUMBER(D373),ISNUMBER(E373)),E373-D373+1,"")</f>
        <v/>
      </c>
      <c r="I373" s="22">
        <f>IF(AND(ISNUMBER(F373),N(F373)&gt;0,ISNUMBER(G373)),G373/F373,"")</f>
        <v/>
      </c>
      <c r="J373" s="21">
        <f>IF(OR(A373="",B373=""),"",IF(C373=Yr_Cur,"CY",IF(C373=Yr_Prev,"PY","")))</f>
        <v/>
      </c>
      <c r="K373" s="21">
        <f>IF(J373="","",IF(J373="CY",SUMIFS(Dat_H,Dat_A,A373,Dat_B,B373,Dat_C,Yr_Prev),SUMIFS(Dat_H,Dat_A,A373,Dat_B,B373,Dat_C,Yr_Cur)))</f>
        <v/>
      </c>
      <c r="L373" s="21">
        <f>IF(J373="",0,IF(AND(ISNUMBER(H373),N(K373)&gt;0,ISNUMBER(F373),ISNUMBER(G373),OR(Sel_Market="All markets",A373=Sel_Market),COUNTIFS(Control!$B$11:$B$13,B373,Control!$C$11:$C$13,"Yes")&gt;0),1,0))</f>
        <v/>
      </c>
      <c r="M373" s="21">
        <f>IF(L373=1,IF(J373="CY",H373,K373),"")</f>
        <v/>
      </c>
      <c r="N373" s="21">
        <f>IF(L373=1,IF(J373="PY",H373,K373),"")</f>
        <v/>
      </c>
      <c r="O373" s="23">
        <f>IF(L373=1,IF(J373="PY",F373*M373/N373,F373),0)</f>
        <v/>
      </c>
      <c r="P373" s="23">
        <f>IF(L373=1,IF(J373="PY",G373*M373/N373,G373),0)</f>
        <v/>
      </c>
      <c r="Q373" s="23">
        <f>IF(AND(L373=1,J373="PY"),F373*(N373-M373)/N373,0)</f>
        <v/>
      </c>
      <c r="R373" s="23">
        <f>IF(AND(L373=1,J373="PY"),G373*(N373-M373)/N373,0)</f>
        <v/>
      </c>
      <c r="S373" s="21">
        <f>IF(COUNTA(A373:G373)=0,"",IF(OR(A373="",B373="",NOT(ISNUMBER(C373))),"Fill market, product and year",IF(COUNTIF(Control!$B$11:$B$13,B373)=0,"Unknown product",IF(COUNTIFS(Dat_A,A373,Dat_B,B373,Dat_C,C373)&gt;1,"Duplicate market/product/year",IF(OR(NOT(ISNUMBER(D373)),NOT(ISNUMBER(E373))),"Add launch date and Data through date",IF(E373&lt;D373,"Data through is before launch",IF(OR(NOT(ISNUMBER(F373)),NOT(ISNUMBER(G373))),"Add units and revenue","OK")))))))</f>
        <v/>
      </c>
    </row>
    <row r="374">
      <c r="A374" s="17" t="n"/>
      <c r="B374" s="17" t="n"/>
      <c r="C374" s="17" t="n"/>
      <c r="D374" s="18" t="n"/>
      <c r="E374" s="18" t="n"/>
      <c r="F374" s="19" t="n"/>
      <c r="G374" s="20" t="n"/>
      <c r="H374" s="21">
        <f>IF(AND(ISNUMBER(D374),ISNUMBER(E374)),E374-D374+1,"")</f>
        <v/>
      </c>
      <c r="I374" s="22">
        <f>IF(AND(ISNUMBER(F374),N(F374)&gt;0,ISNUMBER(G374)),G374/F374,"")</f>
        <v/>
      </c>
      <c r="J374" s="21">
        <f>IF(OR(A374="",B374=""),"",IF(C374=Yr_Cur,"CY",IF(C374=Yr_Prev,"PY","")))</f>
        <v/>
      </c>
      <c r="K374" s="21">
        <f>IF(J374="","",IF(J374="CY",SUMIFS(Dat_H,Dat_A,A374,Dat_B,B374,Dat_C,Yr_Prev),SUMIFS(Dat_H,Dat_A,A374,Dat_B,B374,Dat_C,Yr_Cur)))</f>
        <v/>
      </c>
      <c r="L374" s="21">
        <f>IF(J374="",0,IF(AND(ISNUMBER(H374),N(K374)&gt;0,ISNUMBER(F374),ISNUMBER(G374),OR(Sel_Market="All markets",A374=Sel_Market),COUNTIFS(Control!$B$11:$B$13,B374,Control!$C$11:$C$13,"Yes")&gt;0),1,0))</f>
        <v/>
      </c>
      <c r="M374" s="21">
        <f>IF(L374=1,IF(J374="CY",H374,K374),"")</f>
        <v/>
      </c>
      <c r="N374" s="21">
        <f>IF(L374=1,IF(J374="PY",H374,K374),"")</f>
        <v/>
      </c>
      <c r="O374" s="23">
        <f>IF(L374=1,IF(J374="PY",F374*M374/N374,F374),0)</f>
        <v/>
      </c>
      <c r="P374" s="23">
        <f>IF(L374=1,IF(J374="PY",G374*M374/N374,G374),0)</f>
        <v/>
      </c>
      <c r="Q374" s="23">
        <f>IF(AND(L374=1,J374="PY"),F374*(N374-M374)/N374,0)</f>
        <v/>
      </c>
      <c r="R374" s="23">
        <f>IF(AND(L374=1,J374="PY"),G374*(N374-M374)/N374,0)</f>
        <v/>
      </c>
      <c r="S374" s="21">
        <f>IF(COUNTA(A374:G374)=0,"",IF(OR(A374="",B374="",NOT(ISNUMBER(C374))),"Fill market, product and year",IF(COUNTIF(Control!$B$11:$B$13,B374)=0,"Unknown product",IF(COUNTIFS(Dat_A,A374,Dat_B,B374,Dat_C,C374)&gt;1,"Duplicate market/product/year",IF(OR(NOT(ISNUMBER(D374)),NOT(ISNUMBER(E374))),"Add launch date and Data through date",IF(E374&lt;D374,"Data through is before launch",IF(OR(NOT(ISNUMBER(F374)),NOT(ISNUMBER(G374))),"Add units and revenue","OK")))))))</f>
        <v/>
      </c>
    </row>
    <row r="375">
      <c r="A375" s="17" t="n"/>
      <c r="B375" s="17" t="n"/>
      <c r="C375" s="17" t="n"/>
      <c r="D375" s="18" t="n"/>
      <c r="E375" s="18" t="n"/>
      <c r="F375" s="19" t="n"/>
      <c r="G375" s="20" t="n"/>
      <c r="H375" s="21">
        <f>IF(AND(ISNUMBER(D375),ISNUMBER(E375)),E375-D375+1,"")</f>
        <v/>
      </c>
      <c r="I375" s="22">
        <f>IF(AND(ISNUMBER(F375),N(F375)&gt;0,ISNUMBER(G375)),G375/F375,"")</f>
        <v/>
      </c>
      <c r="J375" s="21">
        <f>IF(OR(A375="",B375=""),"",IF(C375=Yr_Cur,"CY",IF(C375=Yr_Prev,"PY","")))</f>
        <v/>
      </c>
      <c r="K375" s="21">
        <f>IF(J375="","",IF(J375="CY",SUMIFS(Dat_H,Dat_A,A375,Dat_B,B375,Dat_C,Yr_Prev),SUMIFS(Dat_H,Dat_A,A375,Dat_B,B375,Dat_C,Yr_Cur)))</f>
        <v/>
      </c>
      <c r="L375" s="21">
        <f>IF(J375="",0,IF(AND(ISNUMBER(H375),N(K375)&gt;0,ISNUMBER(F375),ISNUMBER(G375),OR(Sel_Market="All markets",A375=Sel_Market),COUNTIFS(Control!$B$11:$B$13,B375,Control!$C$11:$C$13,"Yes")&gt;0),1,0))</f>
        <v/>
      </c>
      <c r="M375" s="21">
        <f>IF(L375=1,IF(J375="CY",H375,K375),"")</f>
        <v/>
      </c>
      <c r="N375" s="21">
        <f>IF(L375=1,IF(J375="PY",H375,K375),"")</f>
        <v/>
      </c>
      <c r="O375" s="23">
        <f>IF(L375=1,IF(J375="PY",F375*M375/N375,F375),0)</f>
        <v/>
      </c>
      <c r="P375" s="23">
        <f>IF(L375=1,IF(J375="PY",G375*M375/N375,G375),0)</f>
        <v/>
      </c>
      <c r="Q375" s="23">
        <f>IF(AND(L375=1,J375="PY"),F375*(N375-M375)/N375,0)</f>
        <v/>
      </c>
      <c r="R375" s="23">
        <f>IF(AND(L375=1,J375="PY"),G375*(N375-M375)/N375,0)</f>
        <v/>
      </c>
      <c r="S375" s="21">
        <f>IF(COUNTA(A375:G375)=0,"",IF(OR(A375="",B375="",NOT(ISNUMBER(C375))),"Fill market, product and year",IF(COUNTIF(Control!$B$11:$B$13,B375)=0,"Unknown product",IF(COUNTIFS(Dat_A,A375,Dat_B,B375,Dat_C,C375)&gt;1,"Duplicate market/product/year",IF(OR(NOT(ISNUMBER(D375)),NOT(ISNUMBER(E375))),"Add launch date and Data through date",IF(E375&lt;D375,"Data through is before launch",IF(OR(NOT(ISNUMBER(F375)),NOT(ISNUMBER(G375))),"Add units and revenue","OK")))))))</f>
        <v/>
      </c>
    </row>
    <row r="376">
      <c r="A376" s="17" t="n"/>
      <c r="B376" s="17" t="n"/>
      <c r="C376" s="17" t="n"/>
      <c r="D376" s="18" t="n"/>
      <c r="E376" s="18" t="n"/>
      <c r="F376" s="19" t="n"/>
      <c r="G376" s="20" t="n"/>
      <c r="H376" s="21">
        <f>IF(AND(ISNUMBER(D376),ISNUMBER(E376)),E376-D376+1,"")</f>
        <v/>
      </c>
      <c r="I376" s="22">
        <f>IF(AND(ISNUMBER(F376),N(F376)&gt;0,ISNUMBER(G376)),G376/F376,"")</f>
        <v/>
      </c>
      <c r="J376" s="21">
        <f>IF(OR(A376="",B376=""),"",IF(C376=Yr_Cur,"CY",IF(C376=Yr_Prev,"PY","")))</f>
        <v/>
      </c>
      <c r="K376" s="21">
        <f>IF(J376="","",IF(J376="CY",SUMIFS(Dat_H,Dat_A,A376,Dat_B,B376,Dat_C,Yr_Prev),SUMIFS(Dat_H,Dat_A,A376,Dat_B,B376,Dat_C,Yr_Cur)))</f>
        <v/>
      </c>
      <c r="L376" s="21">
        <f>IF(J376="",0,IF(AND(ISNUMBER(H376),N(K376)&gt;0,ISNUMBER(F376),ISNUMBER(G376),OR(Sel_Market="All markets",A376=Sel_Market),COUNTIFS(Control!$B$11:$B$13,B376,Control!$C$11:$C$13,"Yes")&gt;0),1,0))</f>
        <v/>
      </c>
      <c r="M376" s="21">
        <f>IF(L376=1,IF(J376="CY",H376,K376),"")</f>
        <v/>
      </c>
      <c r="N376" s="21">
        <f>IF(L376=1,IF(J376="PY",H376,K376),"")</f>
        <v/>
      </c>
      <c r="O376" s="23">
        <f>IF(L376=1,IF(J376="PY",F376*M376/N376,F376),0)</f>
        <v/>
      </c>
      <c r="P376" s="23">
        <f>IF(L376=1,IF(J376="PY",G376*M376/N376,G376),0)</f>
        <v/>
      </c>
      <c r="Q376" s="23">
        <f>IF(AND(L376=1,J376="PY"),F376*(N376-M376)/N376,0)</f>
        <v/>
      </c>
      <c r="R376" s="23">
        <f>IF(AND(L376=1,J376="PY"),G376*(N376-M376)/N376,0)</f>
        <v/>
      </c>
      <c r="S376" s="21">
        <f>IF(COUNTA(A376:G376)=0,"",IF(OR(A376="",B376="",NOT(ISNUMBER(C376))),"Fill market, product and year",IF(COUNTIF(Control!$B$11:$B$13,B376)=0,"Unknown product",IF(COUNTIFS(Dat_A,A376,Dat_B,B376,Dat_C,C376)&gt;1,"Duplicate market/product/year",IF(OR(NOT(ISNUMBER(D376)),NOT(ISNUMBER(E376))),"Add launch date and Data through date",IF(E376&lt;D376,"Data through is before launch",IF(OR(NOT(ISNUMBER(F376)),NOT(ISNUMBER(G376))),"Add units and revenue","OK")))))))</f>
        <v/>
      </c>
    </row>
    <row r="377">
      <c r="A377" s="17" t="n"/>
      <c r="B377" s="17" t="n"/>
      <c r="C377" s="17" t="n"/>
      <c r="D377" s="18" t="n"/>
      <c r="E377" s="18" t="n"/>
      <c r="F377" s="19" t="n"/>
      <c r="G377" s="20" t="n"/>
      <c r="H377" s="21">
        <f>IF(AND(ISNUMBER(D377),ISNUMBER(E377)),E377-D377+1,"")</f>
        <v/>
      </c>
      <c r="I377" s="22">
        <f>IF(AND(ISNUMBER(F377),N(F377)&gt;0,ISNUMBER(G377)),G377/F377,"")</f>
        <v/>
      </c>
      <c r="J377" s="21">
        <f>IF(OR(A377="",B377=""),"",IF(C377=Yr_Cur,"CY",IF(C377=Yr_Prev,"PY","")))</f>
        <v/>
      </c>
      <c r="K377" s="21">
        <f>IF(J377="","",IF(J377="CY",SUMIFS(Dat_H,Dat_A,A377,Dat_B,B377,Dat_C,Yr_Prev),SUMIFS(Dat_H,Dat_A,A377,Dat_B,B377,Dat_C,Yr_Cur)))</f>
        <v/>
      </c>
      <c r="L377" s="21">
        <f>IF(J377="",0,IF(AND(ISNUMBER(H377),N(K377)&gt;0,ISNUMBER(F377),ISNUMBER(G377),OR(Sel_Market="All markets",A377=Sel_Market),COUNTIFS(Control!$B$11:$B$13,B377,Control!$C$11:$C$13,"Yes")&gt;0),1,0))</f>
        <v/>
      </c>
      <c r="M377" s="21">
        <f>IF(L377=1,IF(J377="CY",H377,K377),"")</f>
        <v/>
      </c>
      <c r="N377" s="21">
        <f>IF(L377=1,IF(J377="PY",H377,K377),"")</f>
        <v/>
      </c>
      <c r="O377" s="23">
        <f>IF(L377=1,IF(J377="PY",F377*M377/N377,F377),0)</f>
        <v/>
      </c>
      <c r="P377" s="23">
        <f>IF(L377=1,IF(J377="PY",G377*M377/N377,G377),0)</f>
        <v/>
      </c>
      <c r="Q377" s="23">
        <f>IF(AND(L377=1,J377="PY"),F377*(N377-M377)/N377,0)</f>
        <v/>
      </c>
      <c r="R377" s="23">
        <f>IF(AND(L377=1,J377="PY"),G377*(N377-M377)/N377,0)</f>
        <v/>
      </c>
      <c r="S377" s="21">
        <f>IF(COUNTA(A377:G377)=0,"",IF(OR(A377="",B377="",NOT(ISNUMBER(C377))),"Fill market, product and year",IF(COUNTIF(Control!$B$11:$B$13,B377)=0,"Unknown product",IF(COUNTIFS(Dat_A,A377,Dat_B,B377,Dat_C,C377)&gt;1,"Duplicate market/product/year",IF(OR(NOT(ISNUMBER(D377)),NOT(ISNUMBER(E377))),"Add launch date and Data through date",IF(E377&lt;D377,"Data through is before launch",IF(OR(NOT(ISNUMBER(F377)),NOT(ISNUMBER(G377))),"Add units and revenue","OK")))))))</f>
        <v/>
      </c>
    </row>
    <row r="378">
      <c r="A378" s="17" t="n"/>
      <c r="B378" s="17" t="n"/>
      <c r="C378" s="17" t="n"/>
      <c r="D378" s="18" t="n"/>
      <c r="E378" s="18" t="n"/>
      <c r="F378" s="19" t="n"/>
      <c r="G378" s="20" t="n"/>
      <c r="H378" s="21">
        <f>IF(AND(ISNUMBER(D378),ISNUMBER(E378)),E378-D378+1,"")</f>
        <v/>
      </c>
      <c r="I378" s="22">
        <f>IF(AND(ISNUMBER(F378),N(F378)&gt;0,ISNUMBER(G378)),G378/F378,"")</f>
        <v/>
      </c>
      <c r="J378" s="21">
        <f>IF(OR(A378="",B378=""),"",IF(C378=Yr_Cur,"CY",IF(C378=Yr_Prev,"PY","")))</f>
        <v/>
      </c>
      <c r="K378" s="21">
        <f>IF(J378="","",IF(J378="CY",SUMIFS(Dat_H,Dat_A,A378,Dat_B,B378,Dat_C,Yr_Prev),SUMIFS(Dat_H,Dat_A,A378,Dat_B,B378,Dat_C,Yr_Cur)))</f>
        <v/>
      </c>
      <c r="L378" s="21">
        <f>IF(J378="",0,IF(AND(ISNUMBER(H378),N(K378)&gt;0,ISNUMBER(F378),ISNUMBER(G378),OR(Sel_Market="All markets",A378=Sel_Market),COUNTIFS(Control!$B$11:$B$13,B378,Control!$C$11:$C$13,"Yes")&gt;0),1,0))</f>
        <v/>
      </c>
      <c r="M378" s="21">
        <f>IF(L378=1,IF(J378="CY",H378,K378),"")</f>
        <v/>
      </c>
      <c r="N378" s="21">
        <f>IF(L378=1,IF(J378="PY",H378,K378),"")</f>
        <v/>
      </c>
      <c r="O378" s="23">
        <f>IF(L378=1,IF(J378="PY",F378*M378/N378,F378),0)</f>
        <v/>
      </c>
      <c r="P378" s="23">
        <f>IF(L378=1,IF(J378="PY",G378*M378/N378,G378),0)</f>
        <v/>
      </c>
      <c r="Q378" s="23">
        <f>IF(AND(L378=1,J378="PY"),F378*(N378-M378)/N378,0)</f>
        <v/>
      </c>
      <c r="R378" s="23">
        <f>IF(AND(L378=1,J378="PY"),G378*(N378-M378)/N378,0)</f>
        <v/>
      </c>
      <c r="S378" s="21">
        <f>IF(COUNTA(A378:G378)=0,"",IF(OR(A378="",B378="",NOT(ISNUMBER(C378))),"Fill market, product and year",IF(COUNTIF(Control!$B$11:$B$13,B378)=0,"Unknown product",IF(COUNTIFS(Dat_A,A378,Dat_B,B378,Dat_C,C378)&gt;1,"Duplicate market/product/year",IF(OR(NOT(ISNUMBER(D378)),NOT(ISNUMBER(E378))),"Add launch date and Data through date",IF(E378&lt;D378,"Data through is before launch",IF(OR(NOT(ISNUMBER(F378)),NOT(ISNUMBER(G378))),"Add units and revenue","OK")))))))</f>
        <v/>
      </c>
    </row>
    <row r="379">
      <c r="A379" s="17" t="n"/>
      <c r="B379" s="17" t="n"/>
      <c r="C379" s="17" t="n"/>
      <c r="D379" s="18" t="n"/>
      <c r="E379" s="18" t="n"/>
      <c r="F379" s="19" t="n"/>
      <c r="G379" s="20" t="n"/>
      <c r="H379" s="21">
        <f>IF(AND(ISNUMBER(D379),ISNUMBER(E379)),E379-D379+1,"")</f>
        <v/>
      </c>
      <c r="I379" s="22">
        <f>IF(AND(ISNUMBER(F379),N(F379)&gt;0,ISNUMBER(G379)),G379/F379,"")</f>
        <v/>
      </c>
      <c r="J379" s="21">
        <f>IF(OR(A379="",B379=""),"",IF(C379=Yr_Cur,"CY",IF(C379=Yr_Prev,"PY","")))</f>
        <v/>
      </c>
      <c r="K379" s="21">
        <f>IF(J379="","",IF(J379="CY",SUMIFS(Dat_H,Dat_A,A379,Dat_B,B379,Dat_C,Yr_Prev),SUMIFS(Dat_H,Dat_A,A379,Dat_B,B379,Dat_C,Yr_Cur)))</f>
        <v/>
      </c>
      <c r="L379" s="21">
        <f>IF(J379="",0,IF(AND(ISNUMBER(H379),N(K379)&gt;0,ISNUMBER(F379),ISNUMBER(G379),OR(Sel_Market="All markets",A379=Sel_Market),COUNTIFS(Control!$B$11:$B$13,B379,Control!$C$11:$C$13,"Yes")&gt;0),1,0))</f>
        <v/>
      </c>
      <c r="M379" s="21">
        <f>IF(L379=1,IF(J379="CY",H379,K379),"")</f>
        <v/>
      </c>
      <c r="N379" s="21">
        <f>IF(L379=1,IF(J379="PY",H379,K379),"")</f>
        <v/>
      </c>
      <c r="O379" s="23">
        <f>IF(L379=1,IF(J379="PY",F379*M379/N379,F379),0)</f>
        <v/>
      </c>
      <c r="P379" s="23">
        <f>IF(L379=1,IF(J379="PY",G379*M379/N379,G379),0)</f>
        <v/>
      </c>
      <c r="Q379" s="23">
        <f>IF(AND(L379=1,J379="PY"),F379*(N379-M379)/N379,0)</f>
        <v/>
      </c>
      <c r="R379" s="23">
        <f>IF(AND(L379=1,J379="PY"),G379*(N379-M379)/N379,0)</f>
        <v/>
      </c>
      <c r="S379" s="21">
        <f>IF(COUNTA(A379:G379)=0,"",IF(OR(A379="",B379="",NOT(ISNUMBER(C379))),"Fill market, product and year",IF(COUNTIF(Control!$B$11:$B$13,B379)=0,"Unknown product",IF(COUNTIFS(Dat_A,A379,Dat_B,B379,Dat_C,C379)&gt;1,"Duplicate market/product/year",IF(OR(NOT(ISNUMBER(D379)),NOT(ISNUMBER(E379))),"Add launch date and Data through date",IF(E379&lt;D379,"Data through is before launch",IF(OR(NOT(ISNUMBER(F379)),NOT(ISNUMBER(G379))),"Add units and revenue","OK")))))))</f>
        <v/>
      </c>
    </row>
    <row r="380">
      <c r="A380" s="17" t="n"/>
      <c r="B380" s="17" t="n"/>
      <c r="C380" s="17" t="n"/>
      <c r="D380" s="18" t="n"/>
      <c r="E380" s="18" t="n"/>
      <c r="F380" s="19" t="n"/>
      <c r="G380" s="20" t="n"/>
      <c r="H380" s="21">
        <f>IF(AND(ISNUMBER(D380),ISNUMBER(E380)),E380-D380+1,"")</f>
        <v/>
      </c>
      <c r="I380" s="22">
        <f>IF(AND(ISNUMBER(F380),N(F380)&gt;0,ISNUMBER(G380)),G380/F380,"")</f>
        <v/>
      </c>
      <c r="J380" s="21">
        <f>IF(OR(A380="",B380=""),"",IF(C380=Yr_Cur,"CY",IF(C380=Yr_Prev,"PY","")))</f>
        <v/>
      </c>
      <c r="K380" s="21">
        <f>IF(J380="","",IF(J380="CY",SUMIFS(Dat_H,Dat_A,A380,Dat_B,B380,Dat_C,Yr_Prev),SUMIFS(Dat_H,Dat_A,A380,Dat_B,B380,Dat_C,Yr_Cur)))</f>
        <v/>
      </c>
      <c r="L380" s="21">
        <f>IF(J380="",0,IF(AND(ISNUMBER(H380),N(K380)&gt;0,ISNUMBER(F380),ISNUMBER(G380),OR(Sel_Market="All markets",A380=Sel_Market),COUNTIFS(Control!$B$11:$B$13,B380,Control!$C$11:$C$13,"Yes")&gt;0),1,0))</f>
        <v/>
      </c>
      <c r="M380" s="21">
        <f>IF(L380=1,IF(J380="CY",H380,K380),"")</f>
        <v/>
      </c>
      <c r="N380" s="21">
        <f>IF(L380=1,IF(J380="PY",H380,K380),"")</f>
        <v/>
      </c>
      <c r="O380" s="23">
        <f>IF(L380=1,IF(J380="PY",F380*M380/N380,F380),0)</f>
        <v/>
      </c>
      <c r="P380" s="23">
        <f>IF(L380=1,IF(J380="PY",G380*M380/N380,G380),0)</f>
        <v/>
      </c>
      <c r="Q380" s="23">
        <f>IF(AND(L380=1,J380="PY"),F380*(N380-M380)/N380,0)</f>
        <v/>
      </c>
      <c r="R380" s="23">
        <f>IF(AND(L380=1,J380="PY"),G380*(N380-M380)/N380,0)</f>
        <v/>
      </c>
      <c r="S380" s="21">
        <f>IF(COUNTA(A380:G380)=0,"",IF(OR(A380="",B380="",NOT(ISNUMBER(C380))),"Fill market, product and year",IF(COUNTIF(Control!$B$11:$B$13,B380)=0,"Unknown product",IF(COUNTIFS(Dat_A,A380,Dat_B,B380,Dat_C,C380)&gt;1,"Duplicate market/product/year",IF(OR(NOT(ISNUMBER(D380)),NOT(ISNUMBER(E380))),"Add launch date and Data through date",IF(E380&lt;D380,"Data through is before launch",IF(OR(NOT(ISNUMBER(F380)),NOT(ISNUMBER(G380))),"Add units and revenue","OK")))))))</f>
        <v/>
      </c>
    </row>
    <row r="381">
      <c r="A381" s="17" t="n"/>
      <c r="B381" s="17" t="n"/>
      <c r="C381" s="17" t="n"/>
      <c r="D381" s="18" t="n"/>
      <c r="E381" s="18" t="n"/>
      <c r="F381" s="19" t="n"/>
      <c r="G381" s="20" t="n"/>
      <c r="H381" s="21">
        <f>IF(AND(ISNUMBER(D381),ISNUMBER(E381)),E381-D381+1,"")</f>
        <v/>
      </c>
      <c r="I381" s="22">
        <f>IF(AND(ISNUMBER(F381),N(F381)&gt;0,ISNUMBER(G381)),G381/F381,"")</f>
        <v/>
      </c>
      <c r="J381" s="21">
        <f>IF(OR(A381="",B381=""),"",IF(C381=Yr_Cur,"CY",IF(C381=Yr_Prev,"PY","")))</f>
        <v/>
      </c>
      <c r="K381" s="21">
        <f>IF(J381="","",IF(J381="CY",SUMIFS(Dat_H,Dat_A,A381,Dat_B,B381,Dat_C,Yr_Prev),SUMIFS(Dat_H,Dat_A,A381,Dat_B,B381,Dat_C,Yr_Cur)))</f>
        <v/>
      </c>
      <c r="L381" s="21">
        <f>IF(J381="",0,IF(AND(ISNUMBER(H381),N(K381)&gt;0,ISNUMBER(F381),ISNUMBER(G381),OR(Sel_Market="All markets",A381=Sel_Market),COUNTIFS(Control!$B$11:$B$13,B381,Control!$C$11:$C$13,"Yes")&gt;0),1,0))</f>
        <v/>
      </c>
      <c r="M381" s="21">
        <f>IF(L381=1,IF(J381="CY",H381,K381),"")</f>
        <v/>
      </c>
      <c r="N381" s="21">
        <f>IF(L381=1,IF(J381="PY",H381,K381),"")</f>
        <v/>
      </c>
      <c r="O381" s="23">
        <f>IF(L381=1,IF(J381="PY",F381*M381/N381,F381),0)</f>
        <v/>
      </c>
      <c r="P381" s="23">
        <f>IF(L381=1,IF(J381="PY",G381*M381/N381,G381),0)</f>
        <v/>
      </c>
      <c r="Q381" s="23">
        <f>IF(AND(L381=1,J381="PY"),F381*(N381-M381)/N381,0)</f>
        <v/>
      </c>
      <c r="R381" s="23">
        <f>IF(AND(L381=1,J381="PY"),G381*(N381-M381)/N381,0)</f>
        <v/>
      </c>
      <c r="S381" s="21">
        <f>IF(COUNTA(A381:G381)=0,"",IF(OR(A381="",B381="",NOT(ISNUMBER(C381))),"Fill market, product and year",IF(COUNTIF(Control!$B$11:$B$13,B381)=0,"Unknown product",IF(COUNTIFS(Dat_A,A381,Dat_B,B381,Dat_C,C381)&gt;1,"Duplicate market/product/year",IF(OR(NOT(ISNUMBER(D381)),NOT(ISNUMBER(E381))),"Add launch date and Data through date",IF(E381&lt;D381,"Data through is before launch",IF(OR(NOT(ISNUMBER(F381)),NOT(ISNUMBER(G381))),"Add units and revenue","OK")))))))</f>
        <v/>
      </c>
    </row>
    <row r="382">
      <c r="A382" s="17" t="n"/>
      <c r="B382" s="17" t="n"/>
      <c r="C382" s="17" t="n"/>
      <c r="D382" s="18" t="n"/>
      <c r="E382" s="18" t="n"/>
      <c r="F382" s="19" t="n"/>
      <c r="G382" s="20" t="n"/>
      <c r="H382" s="21">
        <f>IF(AND(ISNUMBER(D382),ISNUMBER(E382)),E382-D382+1,"")</f>
        <v/>
      </c>
      <c r="I382" s="22">
        <f>IF(AND(ISNUMBER(F382),N(F382)&gt;0,ISNUMBER(G382)),G382/F382,"")</f>
        <v/>
      </c>
      <c r="J382" s="21">
        <f>IF(OR(A382="",B382=""),"",IF(C382=Yr_Cur,"CY",IF(C382=Yr_Prev,"PY","")))</f>
        <v/>
      </c>
      <c r="K382" s="21">
        <f>IF(J382="","",IF(J382="CY",SUMIFS(Dat_H,Dat_A,A382,Dat_B,B382,Dat_C,Yr_Prev),SUMIFS(Dat_H,Dat_A,A382,Dat_B,B382,Dat_C,Yr_Cur)))</f>
        <v/>
      </c>
      <c r="L382" s="21">
        <f>IF(J382="",0,IF(AND(ISNUMBER(H382),N(K382)&gt;0,ISNUMBER(F382),ISNUMBER(G382),OR(Sel_Market="All markets",A382=Sel_Market),COUNTIFS(Control!$B$11:$B$13,B382,Control!$C$11:$C$13,"Yes")&gt;0),1,0))</f>
        <v/>
      </c>
      <c r="M382" s="21">
        <f>IF(L382=1,IF(J382="CY",H382,K382),"")</f>
        <v/>
      </c>
      <c r="N382" s="21">
        <f>IF(L382=1,IF(J382="PY",H382,K382),"")</f>
        <v/>
      </c>
      <c r="O382" s="23">
        <f>IF(L382=1,IF(J382="PY",F382*M382/N382,F382),0)</f>
        <v/>
      </c>
      <c r="P382" s="23">
        <f>IF(L382=1,IF(J382="PY",G382*M382/N382,G382),0)</f>
        <v/>
      </c>
      <c r="Q382" s="23">
        <f>IF(AND(L382=1,J382="PY"),F382*(N382-M382)/N382,0)</f>
        <v/>
      </c>
      <c r="R382" s="23">
        <f>IF(AND(L382=1,J382="PY"),G382*(N382-M382)/N382,0)</f>
        <v/>
      </c>
      <c r="S382" s="21">
        <f>IF(COUNTA(A382:G382)=0,"",IF(OR(A382="",B382="",NOT(ISNUMBER(C382))),"Fill market, product and year",IF(COUNTIF(Control!$B$11:$B$13,B382)=0,"Unknown product",IF(COUNTIFS(Dat_A,A382,Dat_B,B382,Dat_C,C382)&gt;1,"Duplicate market/product/year",IF(OR(NOT(ISNUMBER(D382)),NOT(ISNUMBER(E382))),"Add launch date and Data through date",IF(E382&lt;D382,"Data through is before launch",IF(OR(NOT(ISNUMBER(F382)),NOT(ISNUMBER(G382))),"Add units and revenue","OK")))))))</f>
        <v/>
      </c>
    </row>
    <row r="383">
      <c r="A383" s="17" t="n"/>
      <c r="B383" s="17" t="n"/>
      <c r="C383" s="17" t="n"/>
      <c r="D383" s="18" t="n"/>
      <c r="E383" s="18" t="n"/>
      <c r="F383" s="19" t="n"/>
      <c r="G383" s="20" t="n"/>
      <c r="H383" s="21">
        <f>IF(AND(ISNUMBER(D383),ISNUMBER(E383)),E383-D383+1,"")</f>
        <v/>
      </c>
      <c r="I383" s="22">
        <f>IF(AND(ISNUMBER(F383),N(F383)&gt;0,ISNUMBER(G383)),G383/F383,"")</f>
        <v/>
      </c>
      <c r="J383" s="21">
        <f>IF(OR(A383="",B383=""),"",IF(C383=Yr_Cur,"CY",IF(C383=Yr_Prev,"PY","")))</f>
        <v/>
      </c>
      <c r="K383" s="21">
        <f>IF(J383="","",IF(J383="CY",SUMIFS(Dat_H,Dat_A,A383,Dat_B,B383,Dat_C,Yr_Prev),SUMIFS(Dat_H,Dat_A,A383,Dat_B,B383,Dat_C,Yr_Cur)))</f>
        <v/>
      </c>
      <c r="L383" s="21">
        <f>IF(J383="",0,IF(AND(ISNUMBER(H383),N(K383)&gt;0,ISNUMBER(F383),ISNUMBER(G383),OR(Sel_Market="All markets",A383=Sel_Market),COUNTIFS(Control!$B$11:$B$13,B383,Control!$C$11:$C$13,"Yes")&gt;0),1,0))</f>
        <v/>
      </c>
      <c r="M383" s="21">
        <f>IF(L383=1,IF(J383="CY",H383,K383),"")</f>
        <v/>
      </c>
      <c r="N383" s="21">
        <f>IF(L383=1,IF(J383="PY",H383,K383),"")</f>
        <v/>
      </c>
      <c r="O383" s="23">
        <f>IF(L383=1,IF(J383="PY",F383*M383/N383,F383),0)</f>
        <v/>
      </c>
      <c r="P383" s="23">
        <f>IF(L383=1,IF(J383="PY",G383*M383/N383,G383),0)</f>
        <v/>
      </c>
      <c r="Q383" s="23">
        <f>IF(AND(L383=1,J383="PY"),F383*(N383-M383)/N383,0)</f>
        <v/>
      </c>
      <c r="R383" s="23">
        <f>IF(AND(L383=1,J383="PY"),G383*(N383-M383)/N383,0)</f>
        <v/>
      </c>
      <c r="S383" s="21">
        <f>IF(COUNTA(A383:G383)=0,"",IF(OR(A383="",B383="",NOT(ISNUMBER(C383))),"Fill market, product and year",IF(COUNTIF(Control!$B$11:$B$13,B383)=0,"Unknown product",IF(COUNTIFS(Dat_A,A383,Dat_B,B383,Dat_C,C383)&gt;1,"Duplicate market/product/year",IF(OR(NOT(ISNUMBER(D383)),NOT(ISNUMBER(E383))),"Add launch date and Data through date",IF(E383&lt;D383,"Data through is before launch",IF(OR(NOT(ISNUMBER(F383)),NOT(ISNUMBER(G383))),"Add units and revenue","OK")))))))</f>
        <v/>
      </c>
    </row>
    <row r="384">
      <c r="A384" s="17" t="n"/>
      <c r="B384" s="17" t="n"/>
      <c r="C384" s="17" t="n"/>
      <c r="D384" s="18" t="n"/>
      <c r="E384" s="18" t="n"/>
      <c r="F384" s="19" t="n"/>
      <c r="G384" s="20" t="n"/>
      <c r="H384" s="21">
        <f>IF(AND(ISNUMBER(D384),ISNUMBER(E384)),E384-D384+1,"")</f>
        <v/>
      </c>
      <c r="I384" s="22">
        <f>IF(AND(ISNUMBER(F384),N(F384)&gt;0,ISNUMBER(G384)),G384/F384,"")</f>
        <v/>
      </c>
      <c r="J384" s="21">
        <f>IF(OR(A384="",B384=""),"",IF(C384=Yr_Cur,"CY",IF(C384=Yr_Prev,"PY","")))</f>
        <v/>
      </c>
      <c r="K384" s="21">
        <f>IF(J384="","",IF(J384="CY",SUMIFS(Dat_H,Dat_A,A384,Dat_B,B384,Dat_C,Yr_Prev),SUMIFS(Dat_H,Dat_A,A384,Dat_B,B384,Dat_C,Yr_Cur)))</f>
        <v/>
      </c>
      <c r="L384" s="21">
        <f>IF(J384="",0,IF(AND(ISNUMBER(H384),N(K384)&gt;0,ISNUMBER(F384),ISNUMBER(G384),OR(Sel_Market="All markets",A384=Sel_Market),COUNTIFS(Control!$B$11:$B$13,B384,Control!$C$11:$C$13,"Yes")&gt;0),1,0))</f>
        <v/>
      </c>
      <c r="M384" s="21">
        <f>IF(L384=1,IF(J384="CY",H384,K384),"")</f>
        <v/>
      </c>
      <c r="N384" s="21">
        <f>IF(L384=1,IF(J384="PY",H384,K384),"")</f>
        <v/>
      </c>
      <c r="O384" s="23">
        <f>IF(L384=1,IF(J384="PY",F384*M384/N384,F384),0)</f>
        <v/>
      </c>
      <c r="P384" s="23">
        <f>IF(L384=1,IF(J384="PY",G384*M384/N384,G384),0)</f>
        <v/>
      </c>
      <c r="Q384" s="23">
        <f>IF(AND(L384=1,J384="PY"),F384*(N384-M384)/N384,0)</f>
        <v/>
      </c>
      <c r="R384" s="23">
        <f>IF(AND(L384=1,J384="PY"),G384*(N384-M384)/N384,0)</f>
        <v/>
      </c>
      <c r="S384" s="21">
        <f>IF(COUNTA(A384:G384)=0,"",IF(OR(A384="",B384="",NOT(ISNUMBER(C384))),"Fill market, product and year",IF(COUNTIF(Control!$B$11:$B$13,B384)=0,"Unknown product",IF(COUNTIFS(Dat_A,A384,Dat_B,B384,Dat_C,C384)&gt;1,"Duplicate market/product/year",IF(OR(NOT(ISNUMBER(D384)),NOT(ISNUMBER(E384))),"Add launch date and Data through date",IF(E384&lt;D384,"Data through is before launch",IF(OR(NOT(ISNUMBER(F384)),NOT(ISNUMBER(G384))),"Add units and revenue","OK")))))))</f>
        <v/>
      </c>
    </row>
    <row r="385">
      <c r="A385" s="17" t="n"/>
      <c r="B385" s="17" t="n"/>
      <c r="C385" s="17" t="n"/>
      <c r="D385" s="18" t="n"/>
      <c r="E385" s="18" t="n"/>
      <c r="F385" s="19" t="n"/>
      <c r="G385" s="20" t="n"/>
      <c r="H385" s="21">
        <f>IF(AND(ISNUMBER(D385),ISNUMBER(E385)),E385-D385+1,"")</f>
        <v/>
      </c>
      <c r="I385" s="22">
        <f>IF(AND(ISNUMBER(F385),N(F385)&gt;0,ISNUMBER(G385)),G385/F385,"")</f>
        <v/>
      </c>
      <c r="J385" s="21">
        <f>IF(OR(A385="",B385=""),"",IF(C385=Yr_Cur,"CY",IF(C385=Yr_Prev,"PY","")))</f>
        <v/>
      </c>
      <c r="K385" s="21">
        <f>IF(J385="","",IF(J385="CY",SUMIFS(Dat_H,Dat_A,A385,Dat_B,B385,Dat_C,Yr_Prev),SUMIFS(Dat_H,Dat_A,A385,Dat_B,B385,Dat_C,Yr_Cur)))</f>
        <v/>
      </c>
      <c r="L385" s="21">
        <f>IF(J385="",0,IF(AND(ISNUMBER(H385),N(K385)&gt;0,ISNUMBER(F385),ISNUMBER(G385),OR(Sel_Market="All markets",A385=Sel_Market),COUNTIFS(Control!$B$11:$B$13,B385,Control!$C$11:$C$13,"Yes")&gt;0),1,0))</f>
        <v/>
      </c>
      <c r="M385" s="21">
        <f>IF(L385=1,IF(J385="CY",H385,K385),"")</f>
        <v/>
      </c>
      <c r="N385" s="21">
        <f>IF(L385=1,IF(J385="PY",H385,K385),"")</f>
        <v/>
      </c>
      <c r="O385" s="23">
        <f>IF(L385=1,IF(J385="PY",F385*M385/N385,F385),0)</f>
        <v/>
      </c>
      <c r="P385" s="23">
        <f>IF(L385=1,IF(J385="PY",G385*M385/N385,G385),0)</f>
        <v/>
      </c>
      <c r="Q385" s="23">
        <f>IF(AND(L385=1,J385="PY"),F385*(N385-M385)/N385,0)</f>
        <v/>
      </c>
      <c r="R385" s="23">
        <f>IF(AND(L385=1,J385="PY"),G385*(N385-M385)/N385,0)</f>
        <v/>
      </c>
      <c r="S385" s="21">
        <f>IF(COUNTA(A385:G385)=0,"",IF(OR(A385="",B385="",NOT(ISNUMBER(C385))),"Fill market, product and year",IF(COUNTIF(Control!$B$11:$B$13,B385)=0,"Unknown product",IF(COUNTIFS(Dat_A,A385,Dat_B,B385,Dat_C,C385)&gt;1,"Duplicate market/product/year",IF(OR(NOT(ISNUMBER(D385)),NOT(ISNUMBER(E385))),"Add launch date and Data through date",IF(E385&lt;D385,"Data through is before launch",IF(OR(NOT(ISNUMBER(F385)),NOT(ISNUMBER(G385))),"Add units and revenue","OK")))))))</f>
        <v/>
      </c>
    </row>
    <row r="386">
      <c r="A386" s="17" t="n"/>
      <c r="B386" s="17" t="n"/>
      <c r="C386" s="17" t="n"/>
      <c r="D386" s="18" t="n"/>
      <c r="E386" s="18" t="n"/>
      <c r="F386" s="19" t="n"/>
      <c r="G386" s="20" t="n"/>
      <c r="H386" s="21">
        <f>IF(AND(ISNUMBER(D386),ISNUMBER(E386)),E386-D386+1,"")</f>
        <v/>
      </c>
      <c r="I386" s="22">
        <f>IF(AND(ISNUMBER(F386),N(F386)&gt;0,ISNUMBER(G386)),G386/F386,"")</f>
        <v/>
      </c>
      <c r="J386" s="21">
        <f>IF(OR(A386="",B386=""),"",IF(C386=Yr_Cur,"CY",IF(C386=Yr_Prev,"PY","")))</f>
        <v/>
      </c>
      <c r="K386" s="21">
        <f>IF(J386="","",IF(J386="CY",SUMIFS(Dat_H,Dat_A,A386,Dat_B,B386,Dat_C,Yr_Prev),SUMIFS(Dat_H,Dat_A,A386,Dat_B,B386,Dat_C,Yr_Cur)))</f>
        <v/>
      </c>
      <c r="L386" s="21">
        <f>IF(J386="",0,IF(AND(ISNUMBER(H386),N(K386)&gt;0,ISNUMBER(F386),ISNUMBER(G386),OR(Sel_Market="All markets",A386=Sel_Market),COUNTIFS(Control!$B$11:$B$13,B386,Control!$C$11:$C$13,"Yes")&gt;0),1,0))</f>
        <v/>
      </c>
      <c r="M386" s="21">
        <f>IF(L386=1,IF(J386="CY",H386,K386),"")</f>
        <v/>
      </c>
      <c r="N386" s="21">
        <f>IF(L386=1,IF(J386="PY",H386,K386),"")</f>
        <v/>
      </c>
      <c r="O386" s="23">
        <f>IF(L386=1,IF(J386="PY",F386*M386/N386,F386),0)</f>
        <v/>
      </c>
      <c r="P386" s="23">
        <f>IF(L386=1,IF(J386="PY",G386*M386/N386,G386),0)</f>
        <v/>
      </c>
      <c r="Q386" s="23">
        <f>IF(AND(L386=1,J386="PY"),F386*(N386-M386)/N386,0)</f>
        <v/>
      </c>
      <c r="R386" s="23">
        <f>IF(AND(L386=1,J386="PY"),G386*(N386-M386)/N386,0)</f>
        <v/>
      </c>
      <c r="S386" s="21">
        <f>IF(COUNTA(A386:G386)=0,"",IF(OR(A386="",B386="",NOT(ISNUMBER(C386))),"Fill market, product and year",IF(COUNTIF(Control!$B$11:$B$13,B386)=0,"Unknown product",IF(COUNTIFS(Dat_A,A386,Dat_B,B386,Dat_C,C386)&gt;1,"Duplicate market/product/year",IF(OR(NOT(ISNUMBER(D386)),NOT(ISNUMBER(E386))),"Add launch date and Data through date",IF(E386&lt;D386,"Data through is before launch",IF(OR(NOT(ISNUMBER(F386)),NOT(ISNUMBER(G386))),"Add units and revenue","OK")))))))</f>
        <v/>
      </c>
    </row>
    <row r="387">
      <c r="A387" s="17" t="n"/>
      <c r="B387" s="17" t="n"/>
      <c r="C387" s="17" t="n"/>
      <c r="D387" s="18" t="n"/>
      <c r="E387" s="18" t="n"/>
      <c r="F387" s="19" t="n"/>
      <c r="G387" s="20" t="n"/>
      <c r="H387" s="21">
        <f>IF(AND(ISNUMBER(D387),ISNUMBER(E387)),E387-D387+1,"")</f>
        <v/>
      </c>
      <c r="I387" s="22">
        <f>IF(AND(ISNUMBER(F387),N(F387)&gt;0,ISNUMBER(G387)),G387/F387,"")</f>
        <v/>
      </c>
      <c r="J387" s="21">
        <f>IF(OR(A387="",B387=""),"",IF(C387=Yr_Cur,"CY",IF(C387=Yr_Prev,"PY","")))</f>
        <v/>
      </c>
      <c r="K387" s="21">
        <f>IF(J387="","",IF(J387="CY",SUMIFS(Dat_H,Dat_A,A387,Dat_B,B387,Dat_C,Yr_Prev),SUMIFS(Dat_H,Dat_A,A387,Dat_B,B387,Dat_C,Yr_Cur)))</f>
        <v/>
      </c>
      <c r="L387" s="21">
        <f>IF(J387="",0,IF(AND(ISNUMBER(H387),N(K387)&gt;0,ISNUMBER(F387),ISNUMBER(G387),OR(Sel_Market="All markets",A387=Sel_Market),COUNTIFS(Control!$B$11:$B$13,B387,Control!$C$11:$C$13,"Yes")&gt;0),1,0))</f>
        <v/>
      </c>
      <c r="M387" s="21">
        <f>IF(L387=1,IF(J387="CY",H387,K387),"")</f>
        <v/>
      </c>
      <c r="N387" s="21">
        <f>IF(L387=1,IF(J387="PY",H387,K387),"")</f>
        <v/>
      </c>
      <c r="O387" s="23">
        <f>IF(L387=1,IF(J387="PY",F387*M387/N387,F387),0)</f>
        <v/>
      </c>
      <c r="P387" s="23">
        <f>IF(L387=1,IF(J387="PY",G387*M387/N387,G387),0)</f>
        <v/>
      </c>
      <c r="Q387" s="23">
        <f>IF(AND(L387=1,J387="PY"),F387*(N387-M387)/N387,0)</f>
        <v/>
      </c>
      <c r="R387" s="23">
        <f>IF(AND(L387=1,J387="PY"),G387*(N387-M387)/N387,0)</f>
        <v/>
      </c>
      <c r="S387" s="21">
        <f>IF(COUNTA(A387:G387)=0,"",IF(OR(A387="",B387="",NOT(ISNUMBER(C387))),"Fill market, product and year",IF(COUNTIF(Control!$B$11:$B$13,B387)=0,"Unknown product",IF(COUNTIFS(Dat_A,A387,Dat_B,B387,Dat_C,C387)&gt;1,"Duplicate market/product/year",IF(OR(NOT(ISNUMBER(D387)),NOT(ISNUMBER(E387))),"Add launch date and Data through date",IF(E387&lt;D387,"Data through is before launch",IF(OR(NOT(ISNUMBER(F387)),NOT(ISNUMBER(G387))),"Add units and revenue","OK")))))))</f>
        <v/>
      </c>
    </row>
    <row r="388">
      <c r="A388" s="17" t="n"/>
      <c r="B388" s="17" t="n"/>
      <c r="C388" s="17" t="n"/>
      <c r="D388" s="18" t="n"/>
      <c r="E388" s="18" t="n"/>
      <c r="F388" s="19" t="n"/>
      <c r="G388" s="20" t="n"/>
      <c r="H388" s="21">
        <f>IF(AND(ISNUMBER(D388),ISNUMBER(E388)),E388-D388+1,"")</f>
        <v/>
      </c>
      <c r="I388" s="22">
        <f>IF(AND(ISNUMBER(F388),N(F388)&gt;0,ISNUMBER(G388)),G388/F388,"")</f>
        <v/>
      </c>
      <c r="J388" s="21">
        <f>IF(OR(A388="",B388=""),"",IF(C388=Yr_Cur,"CY",IF(C388=Yr_Prev,"PY","")))</f>
        <v/>
      </c>
      <c r="K388" s="21">
        <f>IF(J388="","",IF(J388="CY",SUMIFS(Dat_H,Dat_A,A388,Dat_B,B388,Dat_C,Yr_Prev),SUMIFS(Dat_H,Dat_A,A388,Dat_B,B388,Dat_C,Yr_Cur)))</f>
        <v/>
      </c>
      <c r="L388" s="21">
        <f>IF(J388="",0,IF(AND(ISNUMBER(H388),N(K388)&gt;0,ISNUMBER(F388),ISNUMBER(G388),OR(Sel_Market="All markets",A388=Sel_Market),COUNTIFS(Control!$B$11:$B$13,B388,Control!$C$11:$C$13,"Yes")&gt;0),1,0))</f>
        <v/>
      </c>
      <c r="M388" s="21">
        <f>IF(L388=1,IF(J388="CY",H388,K388),"")</f>
        <v/>
      </c>
      <c r="N388" s="21">
        <f>IF(L388=1,IF(J388="PY",H388,K388),"")</f>
        <v/>
      </c>
      <c r="O388" s="23">
        <f>IF(L388=1,IF(J388="PY",F388*M388/N388,F388),0)</f>
        <v/>
      </c>
      <c r="P388" s="23">
        <f>IF(L388=1,IF(J388="PY",G388*M388/N388,G388),0)</f>
        <v/>
      </c>
      <c r="Q388" s="23">
        <f>IF(AND(L388=1,J388="PY"),F388*(N388-M388)/N388,0)</f>
        <v/>
      </c>
      <c r="R388" s="23">
        <f>IF(AND(L388=1,J388="PY"),G388*(N388-M388)/N388,0)</f>
        <v/>
      </c>
      <c r="S388" s="21">
        <f>IF(COUNTA(A388:G388)=0,"",IF(OR(A388="",B388="",NOT(ISNUMBER(C388))),"Fill market, product and year",IF(COUNTIF(Control!$B$11:$B$13,B388)=0,"Unknown product",IF(COUNTIFS(Dat_A,A388,Dat_B,B388,Dat_C,C388)&gt;1,"Duplicate market/product/year",IF(OR(NOT(ISNUMBER(D388)),NOT(ISNUMBER(E388))),"Add launch date and Data through date",IF(E388&lt;D388,"Data through is before launch",IF(OR(NOT(ISNUMBER(F388)),NOT(ISNUMBER(G388))),"Add units and revenue","OK")))))))</f>
        <v/>
      </c>
    </row>
    <row r="389">
      <c r="A389" s="17" t="n"/>
      <c r="B389" s="17" t="n"/>
      <c r="C389" s="17" t="n"/>
      <c r="D389" s="18" t="n"/>
      <c r="E389" s="18" t="n"/>
      <c r="F389" s="19" t="n"/>
      <c r="G389" s="20" t="n"/>
      <c r="H389" s="21">
        <f>IF(AND(ISNUMBER(D389),ISNUMBER(E389)),E389-D389+1,"")</f>
        <v/>
      </c>
      <c r="I389" s="22">
        <f>IF(AND(ISNUMBER(F389),N(F389)&gt;0,ISNUMBER(G389)),G389/F389,"")</f>
        <v/>
      </c>
      <c r="J389" s="21">
        <f>IF(OR(A389="",B389=""),"",IF(C389=Yr_Cur,"CY",IF(C389=Yr_Prev,"PY","")))</f>
        <v/>
      </c>
      <c r="K389" s="21">
        <f>IF(J389="","",IF(J389="CY",SUMIFS(Dat_H,Dat_A,A389,Dat_B,B389,Dat_C,Yr_Prev),SUMIFS(Dat_H,Dat_A,A389,Dat_B,B389,Dat_C,Yr_Cur)))</f>
        <v/>
      </c>
      <c r="L389" s="21">
        <f>IF(J389="",0,IF(AND(ISNUMBER(H389),N(K389)&gt;0,ISNUMBER(F389),ISNUMBER(G389),OR(Sel_Market="All markets",A389=Sel_Market),COUNTIFS(Control!$B$11:$B$13,B389,Control!$C$11:$C$13,"Yes")&gt;0),1,0))</f>
        <v/>
      </c>
      <c r="M389" s="21">
        <f>IF(L389=1,IF(J389="CY",H389,K389),"")</f>
        <v/>
      </c>
      <c r="N389" s="21">
        <f>IF(L389=1,IF(J389="PY",H389,K389),"")</f>
        <v/>
      </c>
      <c r="O389" s="23">
        <f>IF(L389=1,IF(J389="PY",F389*M389/N389,F389),0)</f>
        <v/>
      </c>
      <c r="P389" s="23">
        <f>IF(L389=1,IF(J389="PY",G389*M389/N389,G389),0)</f>
        <v/>
      </c>
      <c r="Q389" s="23">
        <f>IF(AND(L389=1,J389="PY"),F389*(N389-M389)/N389,0)</f>
        <v/>
      </c>
      <c r="R389" s="23">
        <f>IF(AND(L389=1,J389="PY"),G389*(N389-M389)/N389,0)</f>
        <v/>
      </c>
      <c r="S389" s="21">
        <f>IF(COUNTA(A389:G389)=0,"",IF(OR(A389="",B389="",NOT(ISNUMBER(C389))),"Fill market, product and year",IF(COUNTIF(Control!$B$11:$B$13,B389)=0,"Unknown product",IF(COUNTIFS(Dat_A,A389,Dat_B,B389,Dat_C,C389)&gt;1,"Duplicate market/product/year",IF(OR(NOT(ISNUMBER(D389)),NOT(ISNUMBER(E389))),"Add launch date and Data through date",IF(E389&lt;D389,"Data through is before launch",IF(OR(NOT(ISNUMBER(F389)),NOT(ISNUMBER(G389))),"Add units and revenue","OK")))))))</f>
        <v/>
      </c>
    </row>
    <row r="390">
      <c r="A390" s="17" t="n"/>
      <c r="B390" s="17" t="n"/>
      <c r="C390" s="17" t="n"/>
      <c r="D390" s="18" t="n"/>
      <c r="E390" s="18" t="n"/>
      <c r="F390" s="19" t="n"/>
      <c r="G390" s="20" t="n"/>
      <c r="H390" s="21">
        <f>IF(AND(ISNUMBER(D390),ISNUMBER(E390)),E390-D390+1,"")</f>
        <v/>
      </c>
      <c r="I390" s="22">
        <f>IF(AND(ISNUMBER(F390),N(F390)&gt;0,ISNUMBER(G390)),G390/F390,"")</f>
        <v/>
      </c>
      <c r="J390" s="21">
        <f>IF(OR(A390="",B390=""),"",IF(C390=Yr_Cur,"CY",IF(C390=Yr_Prev,"PY","")))</f>
        <v/>
      </c>
      <c r="K390" s="21">
        <f>IF(J390="","",IF(J390="CY",SUMIFS(Dat_H,Dat_A,A390,Dat_B,B390,Dat_C,Yr_Prev),SUMIFS(Dat_H,Dat_A,A390,Dat_B,B390,Dat_C,Yr_Cur)))</f>
        <v/>
      </c>
      <c r="L390" s="21">
        <f>IF(J390="",0,IF(AND(ISNUMBER(H390),N(K390)&gt;0,ISNUMBER(F390),ISNUMBER(G390),OR(Sel_Market="All markets",A390=Sel_Market),COUNTIFS(Control!$B$11:$B$13,B390,Control!$C$11:$C$13,"Yes")&gt;0),1,0))</f>
        <v/>
      </c>
      <c r="M390" s="21">
        <f>IF(L390=1,IF(J390="CY",H390,K390),"")</f>
        <v/>
      </c>
      <c r="N390" s="21">
        <f>IF(L390=1,IF(J390="PY",H390,K390),"")</f>
        <v/>
      </c>
      <c r="O390" s="23">
        <f>IF(L390=1,IF(J390="PY",F390*M390/N390,F390),0)</f>
        <v/>
      </c>
      <c r="P390" s="23">
        <f>IF(L390=1,IF(J390="PY",G390*M390/N390,G390),0)</f>
        <v/>
      </c>
      <c r="Q390" s="23">
        <f>IF(AND(L390=1,J390="PY"),F390*(N390-M390)/N390,0)</f>
        <v/>
      </c>
      <c r="R390" s="23">
        <f>IF(AND(L390=1,J390="PY"),G390*(N390-M390)/N390,0)</f>
        <v/>
      </c>
      <c r="S390" s="21">
        <f>IF(COUNTA(A390:G390)=0,"",IF(OR(A390="",B390="",NOT(ISNUMBER(C390))),"Fill market, product and year",IF(COUNTIF(Control!$B$11:$B$13,B390)=0,"Unknown product",IF(COUNTIFS(Dat_A,A390,Dat_B,B390,Dat_C,C390)&gt;1,"Duplicate market/product/year",IF(OR(NOT(ISNUMBER(D390)),NOT(ISNUMBER(E390))),"Add launch date and Data through date",IF(E390&lt;D390,"Data through is before launch",IF(OR(NOT(ISNUMBER(F390)),NOT(ISNUMBER(G390))),"Add units and revenue","OK")))))))</f>
        <v/>
      </c>
    </row>
    <row r="391">
      <c r="A391" s="17" t="n"/>
      <c r="B391" s="17" t="n"/>
      <c r="C391" s="17" t="n"/>
      <c r="D391" s="18" t="n"/>
      <c r="E391" s="18" t="n"/>
      <c r="F391" s="19" t="n"/>
      <c r="G391" s="20" t="n"/>
      <c r="H391" s="21">
        <f>IF(AND(ISNUMBER(D391),ISNUMBER(E391)),E391-D391+1,"")</f>
        <v/>
      </c>
      <c r="I391" s="22">
        <f>IF(AND(ISNUMBER(F391),N(F391)&gt;0,ISNUMBER(G391)),G391/F391,"")</f>
        <v/>
      </c>
      <c r="J391" s="21">
        <f>IF(OR(A391="",B391=""),"",IF(C391=Yr_Cur,"CY",IF(C391=Yr_Prev,"PY","")))</f>
        <v/>
      </c>
      <c r="K391" s="21">
        <f>IF(J391="","",IF(J391="CY",SUMIFS(Dat_H,Dat_A,A391,Dat_B,B391,Dat_C,Yr_Prev),SUMIFS(Dat_H,Dat_A,A391,Dat_B,B391,Dat_C,Yr_Cur)))</f>
        <v/>
      </c>
      <c r="L391" s="21">
        <f>IF(J391="",0,IF(AND(ISNUMBER(H391),N(K391)&gt;0,ISNUMBER(F391),ISNUMBER(G391),OR(Sel_Market="All markets",A391=Sel_Market),COUNTIFS(Control!$B$11:$B$13,B391,Control!$C$11:$C$13,"Yes")&gt;0),1,0))</f>
        <v/>
      </c>
      <c r="M391" s="21">
        <f>IF(L391=1,IF(J391="CY",H391,K391),"")</f>
        <v/>
      </c>
      <c r="N391" s="21">
        <f>IF(L391=1,IF(J391="PY",H391,K391),"")</f>
        <v/>
      </c>
      <c r="O391" s="23">
        <f>IF(L391=1,IF(J391="PY",F391*M391/N391,F391),0)</f>
        <v/>
      </c>
      <c r="P391" s="23">
        <f>IF(L391=1,IF(J391="PY",G391*M391/N391,G391),0)</f>
        <v/>
      </c>
      <c r="Q391" s="23">
        <f>IF(AND(L391=1,J391="PY"),F391*(N391-M391)/N391,0)</f>
        <v/>
      </c>
      <c r="R391" s="23">
        <f>IF(AND(L391=1,J391="PY"),G391*(N391-M391)/N391,0)</f>
        <v/>
      </c>
      <c r="S391" s="21">
        <f>IF(COUNTA(A391:G391)=0,"",IF(OR(A391="",B391="",NOT(ISNUMBER(C391))),"Fill market, product and year",IF(COUNTIF(Control!$B$11:$B$13,B391)=0,"Unknown product",IF(COUNTIFS(Dat_A,A391,Dat_B,B391,Dat_C,C391)&gt;1,"Duplicate market/product/year",IF(OR(NOT(ISNUMBER(D391)),NOT(ISNUMBER(E391))),"Add launch date and Data through date",IF(E391&lt;D391,"Data through is before launch",IF(OR(NOT(ISNUMBER(F391)),NOT(ISNUMBER(G391))),"Add units and revenue","OK")))))))</f>
        <v/>
      </c>
    </row>
    <row r="392">
      <c r="A392" s="17" t="n"/>
      <c r="B392" s="17" t="n"/>
      <c r="C392" s="17" t="n"/>
      <c r="D392" s="18" t="n"/>
      <c r="E392" s="18" t="n"/>
      <c r="F392" s="19" t="n"/>
      <c r="G392" s="20" t="n"/>
      <c r="H392" s="21">
        <f>IF(AND(ISNUMBER(D392),ISNUMBER(E392)),E392-D392+1,"")</f>
        <v/>
      </c>
      <c r="I392" s="22">
        <f>IF(AND(ISNUMBER(F392),N(F392)&gt;0,ISNUMBER(G392)),G392/F392,"")</f>
        <v/>
      </c>
      <c r="J392" s="21">
        <f>IF(OR(A392="",B392=""),"",IF(C392=Yr_Cur,"CY",IF(C392=Yr_Prev,"PY","")))</f>
        <v/>
      </c>
      <c r="K392" s="21">
        <f>IF(J392="","",IF(J392="CY",SUMIFS(Dat_H,Dat_A,A392,Dat_B,B392,Dat_C,Yr_Prev),SUMIFS(Dat_H,Dat_A,A392,Dat_B,B392,Dat_C,Yr_Cur)))</f>
        <v/>
      </c>
      <c r="L392" s="21">
        <f>IF(J392="",0,IF(AND(ISNUMBER(H392),N(K392)&gt;0,ISNUMBER(F392),ISNUMBER(G392),OR(Sel_Market="All markets",A392=Sel_Market),COUNTIFS(Control!$B$11:$B$13,B392,Control!$C$11:$C$13,"Yes")&gt;0),1,0))</f>
        <v/>
      </c>
      <c r="M392" s="21">
        <f>IF(L392=1,IF(J392="CY",H392,K392),"")</f>
        <v/>
      </c>
      <c r="N392" s="21">
        <f>IF(L392=1,IF(J392="PY",H392,K392),"")</f>
        <v/>
      </c>
      <c r="O392" s="23">
        <f>IF(L392=1,IF(J392="PY",F392*M392/N392,F392),0)</f>
        <v/>
      </c>
      <c r="P392" s="23">
        <f>IF(L392=1,IF(J392="PY",G392*M392/N392,G392),0)</f>
        <v/>
      </c>
      <c r="Q392" s="23">
        <f>IF(AND(L392=1,J392="PY"),F392*(N392-M392)/N392,0)</f>
        <v/>
      </c>
      <c r="R392" s="23">
        <f>IF(AND(L392=1,J392="PY"),G392*(N392-M392)/N392,0)</f>
        <v/>
      </c>
      <c r="S392" s="21">
        <f>IF(COUNTA(A392:G392)=0,"",IF(OR(A392="",B392="",NOT(ISNUMBER(C392))),"Fill market, product and year",IF(COUNTIF(Control!$B$11:$B$13,B392)=0,"Unknown product",IF(COUNTIFS(Dat_A,A392,Dat_B,B392,Dat_C,C392)&gt;1,"Duplicate market/product/year",IF(OR(NOT(ISNUMBER(D392)),NOT(ISNUMBER(E392))),"Add launch date and Data through date",IF(E392&lt;D392,"Data through is before launch",IF(OR(NOT(ISNUMBER(F392)),NOT(ISNUMBER(G392))),"Add units and revenue","OK")))))))</f>
        <v/>
      </c>
    </row>
    <row r="393">
      <c r="A393" s="17" t="n"/>
      <c r="B393" s="17" t="n"/>
      <c r="C393" s="17" t="n"/>
      <c r="D393" s="18" t="n"/>
      <c r="E393" s="18" t="n"/>
      <c r="F393" s="19" t="n"/>
      <c r="G393" s="20" t="n"/>
      <c r="H393" s="21">
        <f>IF(AND(ISNUMBER(D393),ISNUMBER(E393)),E393-D393+1,"")</f>
        <v/>
      </c>
      <c r="I393" s="22">
        <f>IF(AND(ISNUMBER(F393),N(F393)&gt;0,ISNUMBER(G393)),G393/F393,"")</f>
        <v/>
      </c>
      <c r="J393" s="21">
        <f>IF(OR(A393="",B393=""),"",IF(C393=Yr_Cur,"CY",IF(C393=Yr_Prev,"PY","")))</f>
        <v/>
      </c>
      <c r="K393" s="21">
        <f>IF(J393="","",IF(J393="CY",SUMIFS(Dat_H,Dat_A,A393,Dat_B,B393,Dat_C,Yr_Prev),SUMIFS(Dat_H,Dat_A,A393,Dat_B,B393,Dat_C,Yr_Cur)))</f>
        <v/>
      </c>
      <c r="L393" s="21">
        <f>IF(J393="",0,IF(AND(ISNUMBER(H393),N(K393)&gt;0,ISNUMBER(F393),ISNUMBER(G393),OR(Sel_Market="All markets",A393=Sel_Market),COUNTIFS(Control!$B$11:$B$13,B393,Control!$C$11:$C$13,"Yes")&gt;0),1,0))</f>
        <v/>
      </c>
      <c r="M393" s="21">
        <f>IF(L393=1,IF(J393="CY",H393,K393),"")</f>
        <v/>
      </c>
      <c r="N393" s="21">
        <f>IF(L393=1,IF(J393="PY",H393,K393),"")</f>
        <v/>
      </c>
      <c r="O393" s="23">
        <f>IF(L393=1,IF(J393="PY",F393*M393/N393,F393),0)</f>
        <v/>
      </c>
      <c r="P393" s="23">
        <f>IF(L393=1,IF(J393="PY",G393*M393/N393,G393),0)</f>
        <v/>
      </c>
      <c r="Q393" s="23">
        <f>IF(AND(L393=1,J393="PY"),F393*(N393-M393)/N393,0)</f>
        <v/>
      </c>
      <c r="R393" s="23">
        <f>IF(AND(L393=1,J393="PY"),G393*(N393-M393)/N393,0)</f>
        <v/>
      </c>
      <c r="S393" s="21">
        <f>IF(COUNTA(A393:G393)=0,"",IF(OR(A393="",B393="",NOT(ISNUMBER(C393))),"Fill market, product and year",IF(COUNTIF(Control!$B$11:$B$13,B393)=0,"Unknown product",IF(COUNTIFS(Dat_A,A393,Dat_B,B393,Dat_C,C393)&gt;1,"Duplicate market/product/year",IF(OR(NOT(ISNUMBER(D393)),NOT(ISNUMBER(E393))),"Add launch date and Data through date",IF(E393&lt;D393,"Data through is before launch",IF(OR(NOT(ISNUMBER(F393)),NOT(ISNUMBER(G393))),"Add units and revenue","OK")))))))</f>
        <v/>
      </c>
    </row>
    <row r="394">
      <c r="A394" s="17" t="n"/>
      <c r="B394" s="17" t="n"/>
      <c r="C394" s="17" t="n"/>
      <c r="D394" s="18" t="n"/>
      <c r="E394" s="18" t="n"/>
      <c r="F394" s="19" t="n"/>
      <c r="G394" s="20" t="n"/>
      <c r="H394" s="21">
        <f>IF(AND(ISNUMBER(D394),ISNUMBER(E394)),E394-D394+1,"")</f>
        <v/>
      </c>
      <c r="I394" s="22">
        <f>IF(AND(ISNUMBER(F394),N(F394)&gt;0,ISNUMBER(G394)),G394/F394,"")</f>
        <v/>
      </c>
      <c r="J394" s="21">
        <f>IF(OR(A394="",B394=""),"",IF(C394=Yr_Cur,"CY",IF(C394=Yr_Prev,"PY","")))</f>
        <v/>
      </c>
      <c r="K394" s="21">
        <f>IF(J394="","",IF(J394="CY",SUMIFS(Dat_H,Dat_A,A394,Dat_B,B394,Dat_C,Yr_Prev),SUMIFS(Dat_H,Dat_A,A394,Dat_B,B394,Dat_C,Yr_Cur)))</f>
        <v/>
      </c>
      <c r="L394" s="21">
        <f>IF(J394="",0,IF(AND(ISNUMBER(H394),N(K394)&gt;0,ISNUMBER(F394),ISNUMBER(G394),OR(Sel_Market="All markets",A394=Sel_Market),COUNTIFS(Control!$B$11:$B$13,B394,Control!$C$11:$C$13,"Yes")&gt;0),1,0))</f>
        <v/>
      </c>
      <c r="M394" s="21">
        <f>IF(L394=1,IF(J394="CY",H394,K394),"")</f>
        <v/>
      </c>
      <c r="N394" s="21">
        <f>IF(L394=1,IF(J394="PY",H394,K394),"")</f>
        <v/>
      </c>
      <c r="O394" s="23">
        <f>IF(L394=1,IF(J394="PY",F394*M394/N394,F394),0)</f>
        <v/>
      </c>
      <c r="P394" s="23">
        <f>IF(L394=1,IF(J394="PY",G394*M394/N394,G394),0)</f>
        <v/>
      </c>
      <c r="Q394" s="23">
        <f>IF(AND(L394=1,J394="PY"),F394*(N394-M394)/N394,0)</f>
        <v/>
      </c>
      <c r="R394" s="23">
        <f>IF(AND(L394=1,J394="PY"),G394*(N394-M394)/N394,0)</f>
        <v/>
      </c>
      <c r="S394" s="21">
        <f>IF(COUNTA(A394:G394)=0,"",IF(OR(A394="",B394="",NOT(ISNUMBER(C394))),"Fill market, product and year",IF(COUNTIF(Control!$B$11:$B$13,B394)=0,"Unknown product",IF(COUNTIFS(Dat_A,A394,Dat_B,B394,Dat_C,C394)&gt;1,"Duplicate market/product/year",IF(OR(NOT(ISNUMBER(D394)),NOT(ISNUMBER(E394))),"Add launch date and Data through date",IF(E394&lt;D394,"Data through is before launch",IF(OR(NOT(ISNUMBER(F394)),NOT(ISNUMBER(G394))),"Add units and revenue","OK")))))))</f>
        <v/>
      </c>
    </row>
    <row r="395">
      <c r="A395" s="17" t="n"/>
      <c r="B395" s="17" t="n"/>
      <c r="C395" s="17" t="n"/>
      <c r="D395" s="18" t="n"/>
      <c r="E395" s="18" t="n"/>
      <c r="F395" s="19" t="n"/>
      <c r="G395" s="20" t="n"/>
      <c r="H395" s="21">
        <f>IF(AND(ISNUMBER(D395),ISNUMBER(E395)),E395-D395+1,"")</f>
        <v/>
      </c>
      <c r="I395" s="22">
        <f>IF(AND(ISNUMBER(F395),N(F395)&gt;0,ISNUMBER(G395)),G395/F395,"")</f>
        <v/>
      </c>
      <c r="J395" s="21">
        <f>IF(OR(A395="",B395=""),"",IF(C395=Yr_Cur,"CY",IF(C395=Yr_Prev,"PY","")))</f>
        <v/>
      </c>
      <c r="K395" s="21">
        <f>IF(J395="","",IF(J395="CY",SUMIFS(Dat_H,Dat_A,A395,Dat_B,B395,Dat_C,Yr_Prev),SUMIFS(Dat_H,Dat_A,A395,Dat_B,B395,Dat_C,Yr_Cur)))</f>
        <v/>
      </c>
      <c r="L395" s="21">
        <f>IF(J395="",0,IF(AND(ISNUMBER(H395),N(K395)&gt;0,ISNUMBER(F395),ISNUMBER(G395),OR(Sel_Market="All markets",A395=Sel_Market),COUNTIFS(Control!$B$11:$B$13,B395,Control!$C$11:$C$13,"Yes")&gt;0),1,0))</f>
        <v/>
      </c>
      <c r="M395" s="21">
        <f>IF(L395=1,IF(J395="CY",H395,K395),"")</f>
        <v/>
      </c>
      <c r="N395" s="21">
        <f>IF(L395=1,IF(J395="PY",H395,K395),"")</f>
        <v/>
      </c>
      <c r="O395" s="23">
        <f>IF(L395=1,IF(J395="PY",F395*M395/N395,F395),0)</f>
        <v/>
      </c>
      <c r="P395" s="23">
        <f>IF(L395=1,IF(J395="PY",G395*M395/N395,G395),0)</f>
        <v/>
      </c>
      <c r="Q395" s="23">
        <f>IF(AND(L395=1,J395="PY"),F395*(N395-M395)/N395,0)</f>
        <v/>
      </c>
      <c r="R395" s="23">
        <f>IF(AND(L395=1,J395="PY"),G395*(N395-M395)/N395,0)</f>
        <v/>
      </c>
      <c r="S395" s="21">
        <f>IF(COUNTA(A395:G395)=0,"",IF(OR(A395="",B395="",NOT(ISNUMBER(C395))),"Fill market, product and year",IF(COUNTIF(Control!$B$11:$B$13,B395)=0,"Unknown product",IF(COUNTIFS(Dat_A,A395,Dat_B,B395,Dat_C,C395)&gt;1,"Duplicate market/product/year",IF(OR(NOT(ISNUMBER(D395)),NOT(ISNUMBER(E395))),"Add launch date and Data through date",IF(E395&lt;D395,"Data through is before launch",IF(OR(NOT(ISNUMBER(F395)),NOT(ISNUMBER(G395))),"Add units and revenue","OK")))))))</f>
        <v/>
      </c>
    </row>
    <row r="396">
      <c r="A396" s="17" t="n"/>
      <c r="B396" s="17" t="n"/>
      <c r="C396" s="17" t="n"/>
      <c r="D396" s="18" t="n"/>
      <c r="E396" s="18" t="n"/>
      <c r="F396" s="19" t="n"/>
      <c r="G396" s="20" t="n"/>
      <c r="H396" s="21">
        <f>IF(AND(ISNUMBER(D396),ISNUMBER(E396)),E396-D396+1,"")</f>
        <v/>
      </c>
      <c r="I396" s="22">
        <f>IF(AND(ISNUMBER(F396),N(F396)&gt;0,ISNUMBER(G396)),G396/F396,"")</f>
        <v/>
      </c>
      <c r="J396" s="21">
        <f>IF(OR(A396="",B396=""),"",IF(C396=Yr_Cur,"CY",IF(C396=Yr_Prev,"PY","")))</f>
        <v/>
      </c>
      <c r="K396" s="21">
        <f>IF(J396="","",IF(J396="CY",SUMIFS(Dat_H,Dat_A,A396,Dat_B,B396,Dat_C,Yr_Prev),SUMIFS(Dat_H,Dat_A,A396,Dat_B,B396,Dat_C,Yr_Cur)))</f>
        <v/>
      </c>
      <c r="L396" s="21">
        <f>IF(J396="",0,IF(AND(ISNUMBER(H396),N(K396)&gt;0,ISNUMBER(F396),ISNUMBER(G396),OR(Sel_Market="All markets",A396=Sel_Market),COUNTIFS(Control!$B$11:$B$13,B396,Control!$C$11:$C$13,"Yes")&gt;0),1,0))</f>
        <v/>
      </c>
      <c r="M396" s="21">
        <f>IF(L396=1,IF(J396="CY",H396,K396),"")</f>
        <v/>
      </c>
      <c r="N396" s="21">
        <f>IF(L396=1,IF(J396="PY",H396,K396),"")</f>
        <v/>
      </c>
      <c r="O396" s="23">
        <f>IF(L396=1,IF(J396="PY",F396*M396/N396,F396),0)</f>
        <v/>
      </c>
      <c r="P396" s="23">
        <f>IF(L396=1,IF(J396="PY",G396*M396/N396,G396),0)</f>
        <v/>
      </c>
      <c r="Q396" s="23">
        <f>IF(AND(L396=1,J396="PY"),F396*(N396-M396)/N396,0)</f>
        <v/>
      </c>
      <c r="R396" s="23">
        <f>IF(AND(L396=1,J396="PY"),G396*(N396-M396)/N396,0)</f>
        <v/>
      </c>
      <c r="S396" s="21">
        <f>IF(COUNTA(A396:G396)=0,"",IF(OR(A396="",B396="",NOT(ISNUMBER(C396))),"Fill market, product and year",IF(COUNTIF(Control!$B$11:$B$13,B396)=0,"Unknown product",IF(COUNTIFS(Dat_A,A396,Dat_B,B396,Dat_C,C396)&gt;1,"Duplicate market/product/year",IF(OR(NOT(ISNUMBER(D396)),NOT(ISNUMBER(E396))),"Add launch date and Data through date",IF(E396&lt;D396,"Data through is before launch",IF(OR(NOT(ISNUMBER(F396)),NOT(ISNUMBER(G396))),"Add units and revenue","OK")))))))</f>
        <v/>
      </c>
    </row>
    <row r="397">
      <c r="A397" s="17" t="n"/>
      <c r="B397" s="17" t="n"/>
      <c r="C397" s="17" t="n"/>
      <c r="D397" s="18" t="n"/>
      <c r="E397" s="18" t="n"/>
      <c r="F397" s="19" t="n"/>
      <c r="G397" s="20" t="n"/>
      <c r="H397" s="21">
        <f>IF(AND(ISNUMBER(D397),ISNUMBER(E397)),E397-D397+1,"")</f>
        <v/>
      </c>
      <c r="I397" s="22">
        <f>IF(AND(ISNUMBER(F397),N(F397)&gt;0,ISNUMBER(G397)),G397/F397,"")</f>
        <v/>
      </c>
      <c r="J397" s="21">
        <f>IF(OR(A397="",B397=""),"",IF(C397=Yr_Cur,"CY",IF(C397=Yr_Prev,"PY","")))</f>
        <v/>
      </c>
      <c r="K397" s="21">
        <f>IF(J397="","",IF(J397="CY",SUMIFS(Dat_H,Dat_A,A397,Dat_B,B397,Dat_C,Yr_Prev),SUMIFS(Dat_H,Dat_A,A397,Dat_B,B397,Dat_C,Yr_Cur)))</f>
        <v/>
      </c>
      <c r="L397" s="21">
        <f>IF(J397="",0,IF(AND(ISNUMBER(H397),N(K397)&gt;0,ISNUMBER(F397),ISNUMBER(G397),OR(Sel_Market="All markets",A397=Sel_Market),COUNTIFS(Control!$B$11:$B$13,B397,Control!$C$11:$C$13,"Yes")&gt;0),1,0))</f>
        <v/>
      </c>
      <c r="M397" s="21">
        <f>IF(L397=1,IF(J397="CY",H397,K397),"")</f>
        <v/>
      </c>
      <c r="N397" s="21">
        <f>IF(L397=1,IF(J397="PY",H397,K397),"")</f>
        <v/>
      </c>
      <c r="O397" s="23">
        <f>IF(L397=1,IF(J397="PY",F397*M397/N397,F397),0)</f>
        <v/>
      </c>
      <c r="P397" s="23">
        <f>IF(L397=1,IF(J397="PY",G397*M397/N397,G397),0)</f>
        <v/>
      </c>
      <c r="Q397" s="23">
        <f>IF(AND(L397=1,J397="PY"),F397*(N397-M397)/N397,0)</f>
        <v/>
      </c>
      <c r="R397" s="23">
        <f>IF(AND(L397=1,J397="PY"),G397*(N397-M397)/N397,0)</f>
        <v/>
      </c>
      <c r="S397" s="21">
        <f>IF(COUNTA(A397:G397)=0,"",IF(OR(A397="",B397="",NOT(ISNUMBER(C397))),"Fill market, product and year",IF(COUNTIF(Control!$B$11:$B$13,B397)=0,"Unknown product",IF(COUNTIFS(Dat_A,A397,Dat_B,B397,Dat_C,C397)&gt;1,"Duplicate market/product/year",IF(OR(NOT(ISNUMBER(D397)),NOT(ISNUMBER(E397))),"Add launch date and Data through date",IF(E397&lt;D397,"Data through is before launch",IF(OR(NOT(ISNUMBER(F397)),NOT(ISNUMBER(G397))),"Add units and revenue","OK")))))))</f>
        <v/>
      </c>
    </row>
    <row r="398">
      <c r="A398" s="17" t="n"/>
      <c r="B398" s="17" t="n"/>
      <c r="C398" s="17" t="n"/>
      <c r="D398" s="18" t="n"/>
      <c r="E398" s="18" t="n"/>
      <c r="F398" s="19" t="n"/>
      <c r="G398" s="20" t="n"/>
      <c r="H398" s="21">
        <f>IF(AND(ISNUMBER(D398),ISNUMBER(E398)),E398-D398+1,"")</f>
        <v/>
      </c>
      <c r="I398" s="22">
        <f>IF(AND(ISNUMBER(F398),N(F398)&gt;0,ISNUMBER(G398)),G398/F398,"")</f>
        <v/>
      </c>
      <c r="J398" s="21">
        <f>IF(OR(A398="",B398=""),"",IF(C398=Yr_Cur,"CY",IF(C398=Yr_Prev,"PY","")))</f>
        <v/>
      </c>
      <c r="K398" s="21">
        <f>IF(J398="","",IF(J398="CY",SUMIFS(Dat_H,Dat_A,A398,Dat_B,B398,Dat_C,Yr_Prev),SUMIFS(Dat_H,Dat_A,A398,Dat_B,B398,Dat_C,Yr_Cur)))</f>
        <v/>
      </c>
      <c r="L398" s="21">
        <f>IF(J398="",0,IF(AND(ISNUMBER(H398),N(K398)&gt;0,ISNUMBER(F398),ISNUMBER(G398),OR(Sel_Market="All markets",A398=Sel_Market),COUNTIFS(Control!$B$11:$B$13,B398,Control!$C$11:$C$13,"Yes")&gt;0),1,0))</f>
        <v/>
      </c>
      <c r="M398" s="21">
        <f>IF(L398=1,IF(J398="CY",H398,K398),"")</f>
        <v/>
      </c>
      <c r="N398" s="21">
        <f>IF(L398=1,IF(J398="PY",H398,K398),"")</f>
        <v/>
      </c>
      <c r="O398" s="23">
        <f>IF(L398=1,IF(J398="PY",F398*M398/N398,F398),0)</f>
        <v/>
      </c>
      <c r="P398" s="23">
        <f>IF(L398=1,IF(J398="PY",G398*M398/N398,G398),0)</f>
        <v/>
      </c>
      <c r="Q398" s="23">
        <f>IF(AND(L398=1,J398="PY"),F398*(N398-M398)/N398,0)</f>
        <v/>
      </c>
      <c r="R398" s="23">
        <f>IF(AND(L398=1,J398="PY"),G398*(N398-M398)/N398,0)</f>
        <v/>
      </c>
      <c r="S398" s="21">
        <f>IF(COUNTA(A398:G398)=0,"",IF(OR(A398="",B398="",NOT(ISNUMBER(C398))),"Fill market, product and year",IF(COUNTIF(Control!$B$11:$B$13,B398)=0,"Unknown product",IF(COUNTIFS(Dat_A,A398,Dat_B,B398,Dat_C,C398)&gt;1,"Duplicate market/product/year",IF(OR(NOT(ISNUMBER(D398)),NOT(ISNUMBER(E398))),"Add launch date and Data through date",IF(E398&lt;D398,"Data through is before launch",IF(OR(NOT(ISNUMBER(F398)),NOT(ISNUMBER(G398))),"Add units and revenue","OK")))))))</f>
        <v/>
      </c>
    </row>
    <row r="399">
      <c r="A399" s="17" t="n"/>
      <c r="B399" s="17" t="n"/>
      <c r="C399" s="17" t="n"/>
      <c r="D399" s="18" t="n"/>
      <c r="E399" s="18" t="n"/>
      <c r="F399" s="19" t="n"/>
      <c r="G399" s="20" t="n"/>
      <c r="H399" s="21">
        <f>IF(AND(ISNUMBER(D399),ISNUMBER(E399)),E399-D399+1,"")</f>
        <v/>
      </c>
      <c r="I399" s="22">
        <f>IF(AND(ISNUMBER(F399),N(F399)&gt;0,ISNUMBER(G399)),G399/F399,"")</f>
        <v/>
      </c>
      <c r="J399" s="21">
        <f>IF(OR(A399="",B399=""),"",IF(C399=Yr_Cur,"CY",IF(C399=Yr_Prev,"PY","")))</f>
        <v/>
      </c>
      <c r="K399" s="21">
        <f>IF(J399="","",IF(J399="CY",SUMIFS(Dat_H,Dat_A,A399,Dat_B,B399,Dat_C,Yr_Prev),SUMIFS(Dat_H,Dat_A,A399,Dat_B,B399,Dat_C,Yr_Cur)))</f>
        <v/>
      </c>
      <c r="L399" s="21">
        <f>IF(J399="",0,IF(AND(ISNUMBER(H399),N(K399)&gt;0,ISNUMBER(F399),ISNUMBER(G399),OR(Sel_Market="All markets",A399=Sel_Market),COUNTIFS(Control!$B$11:$B$13,B399,Control!$C$11:$C$13,"Yes")&gt;0),1,0))</f>
        <v/>
      </c>
      <c r="M399" s="21">
        <f>IF(L399=1,IF(J399="CY",H399,K399),"")</f>
        <v/>
      </c>
      <c r="N399" s="21">
        <f>IF(L399=1,IF(J399="PY",H399,K399),"")</f>
        <v/>
      </c>
      <c r="O399" s="23">
        <f>IF(L399=1,IF(J399="PY",F399*M399/N399,F399),0)</f>
        <v/>
      </c>
      <c r="P399" s="23">
        <f>IF(L399=1,IF(J399="PY",G399*M399/N399,G399),0)</f>
        <v/>
      </c>
      <c r="Q399" s="23">
        <f>IF(AND(L399=1,J399="PY"),F399*(N399-M399)/N399,0)</f>
        <v/>
      </c>
      <c r="R399" s="23">
        <f>IF(AND(L399=1,J399="PY"),G399*(N399-M399)/N399,0)</f>
        <v/>
      </c>
      <c r="S399" s="21">
        <f>IF(COUNTA(A399:G399)=0,"",IF(OR(A399="",B399="",NOT(ISNUMBER(C399))),"Fill market, product and year",IF(COUNTIF(Control!$B$11:$B$13,B399)=0,"Unknown product",IF(COUNTIFS(Dat_A,A399,Dat_B,B399,Dat_C,C399)&gt;1,"Duplicate market/product/year",IF(OR(NOT(ISNUMBER(D399)),NOT(ISNUMBER(E399))),"Add launch date and Data through date",IF(E399&lt;D399,"Data through is before launch",IF(OR(NOT(ISNUMBER(F399)),NOT(ISNUMBER(G399))),"Add units and revenue","OK")))))))</f>
        <v/>
      </c>
    </row>
    <row r="400">
      <c r="A400" s="17" t="n"/>
      <c r="B400" s="17" t="n"/>
      <c r="C400" s="17" t="n"/>
      <c r="D400" s="18" t="n"/>
      <c r="E400" s="18" t="n"/>
      <c r="F400" s="19" t="n"/>
      <c r="G400" s="20" t="n"/>
      <c r="H400" s="21">
        <f>IF(AND(ISNUMBER(D400),ISNUMBER(E400)),E400-D400+1,"")</f>
        <v/>
      </c>
      <c r="I400" s="22">
        <f>IF(AND(ISNUMBER(F400),N(F400)&gt;0,ISNUMBER(G400)),G400/F400,"")</f>
        <v/>
      </c>
      <c r="J400" s="21">
        <f>IF(OR(A400="",B400=""),"",IF(C400=Yr_Cur,"CY",IF(C400=Yr_Prev,"PY","")))</f>
        <v/>
      </c>
      <c r="K400" s="21">
        <f>IF(J400="","",IF(J400="CY",SUMIFS(Dat_H,Dat_A,A400,Dat_B,B400,Dat_C,Yr_Prev),SUMIFS(Dat_H,Dat_A,A400,Dat_B,B400,Dat_C,Yr_Cur)))</f>
        <v/>
      </c>
      <c r="L400" s="21">
        <f>IF(J400="",0,IF(AND(ISNUMBER(H400),N(K400)&gt;0,ISNUMBER(F400),ISNUMBER(G400),OR(Sel_Market="All markets",A400=Sel_Market),COUNTIFS(Control!$B$11:$B$13,B400,Control!$C$11:$C$13,"Yes")&gt;0),1,0))</f>
        <v/>
      </c>
      <c r="M400" s="21">
        <f>IF(L400=1,IF(J400="CY",H400,K400),"")</f>
        <v/>
      </c>
      <c r="N400" s="21">
        <f>IF(L400=1,IF(J400="PY",H400,K400),"")</f>
        <v/>
      </c>
      <c r="O400" s="23">
        <f>IF(L400=1,IF(J400="PY",F400*M400/N400,F400),0)</f>
        <v/>
      </c>
      <c r="P400" s="23">
        <f>IF(L400=1,IF(J400="PY",G400*M400/N400,G400),0)</f>
        <v/>
      </c>
      <c r="Q400" s="23">
        <f>IF(AND(L400=1,J400="PY"),F400*(N400-M400)/N400,0)</f>
        <v/>
      </c>
      <c r="R400" s="23">
        <f>IF(AND(L400=1,J400="PY"),G400*(N400-M400)/N400,0)</f>
        <v/>
      </c>
      <c r="S400" s="21">
        <f>IF(COUNTA(A400:G400)=0,"",IF(OR(A400="",B400="",NOT(ISNUMBER(C400))),"Fill market, product and year",IF(COUNTIF(Control!$B$11:$B$13,B400)=0,"Unknown product",IF(COUNTIFS(Dat_A,A400,Dat_B,B400,Dat_C,C400)&gt;1,"Duplicate market/product/year",IF(OR(NOT(ISNUMBER(D400)),NOT(ISNUMBER(E400))),"Add launch date and Data through date",IF(E400&lt;D400,"Data through is before launch",IF(OR(NOT(ISNUMBER(F400)),NOT(ISNUMBER(G400))),"Add units and revenue","OK")))))))</f>
        <v/>
      </c>
    </row>
    <row r="401">
      <c r="A401" s="17" t="n"/>
      <c r="B401" s="17" t="n"/>
      <c r="C401" s="17" t="n"/>
      <c r="D401" s="18" t="n"/>
      <c r="E401" s="18" t="n"/>
      <c r="F401" s="19" t="n"/>
      <c r="G401" s="20" t="n"/>
      <c r="H401" s="21">
        <f>IF(AND(ISNUMBER(D401),ISNUMBER(E401)),E401-D401+1,"")</f>
        <v/>
      </c>
      <c r="I401" s="22">
        <f>IF(AND(ISNUMBER(F401),N(F401)&gt;0,ISNUMBER(G401)),G401/F401,"")</f>
        <v/>
      </c>
      <c r="J401" s="21">
        <f>IF(OR(A401="",B401=""),"",IF(C401=Yr_Cur,"CY",IF(C401=Yr_Prev,"PY","")))</f>
        <v/>
      </c>
      <c r="K401" s="21">
        <f>IF(J401="","",IF(J401="CY",SUMIFS(Dat_H,Dat_A,A401,Dat_B,B401,Dat_C,Yr_Prev),SUMIFS(Dat_H,Dat_A,A401,Dat_B,B401,Dat_C,Yr_Cur)))</f>
        <v/>
      </c>
      <c r="L401" s="21">
        <f>IF(J401="",0,IF(AND(ISNUMBER(H401),N(K401)&gt;0,ISNUMBER(F401),ISNUMBER(G401),OR(Sel_Market="All markets",A401=Sel_Market),COUNTIFS(Control!$B$11:$B$13,B401,Control!$C$11:$C$13,"Yes")&gt;0),1,0))</f>
        <v/>
      </c>
      <c r="M401" s="21">
        <f>IF(L401=1,IF(J401="CY",H401,K401),"")</f>
        <v/>
      </c>
      <c r="N401" s="21">
        <f>IF(L401=1,IF(J401="PY",H401,K401),"")</f>
        <v/>
      </c>
      <c r="O401" s="23">
        <f>IF(L401=1,IF(J401="PY",F401*M401/N401,F401),0)</f>
        <v/>
      </c>
      <c r="P401" s="23">
        <f>IF(L401=1,IF(J401="PY",G401*M401/N401,G401),0)</f>
        <v/>
      </c>
      <c r="Q401" s="23">
        <f>IF(AND(L401=1,J401="PY"),F401*(N401-M401)/N401,0)</f>
        <v/>
      </c>
      <c r="R401" s="23">
        <f>IF(AND(L401=1,J401="PY"),G401*(N401-M401)/N401,0)</f>
        <v/>
      </c>
      <c r="S401" s="21">
        <f>IF(COUNTA(A401:G401)=0,"",IF(OR(A401="",B401="",NOT(ISNUMBER(C401))),"Fill market, product and year",IF(COUNTIF(Control!$B$11:$B$13,B401)=0,"Unknown product",IF(COUNTIFS(Dat_A,A401,Dat_B,B401,Dat_C,C401)&gt;1,"Duplicate market/product/year",IF(OR(NOT(ISNUMBER(D401)),NOT(ISNUMBER(E401))),"Add launch date and Data through date",IF(E401&lt;D401,"Data through is before launch",IF(OR(NOT(ISNUMBER(F401)),NOT(ISNUMBER(G401))),"Add units and revenue","OK")))))))</f>
        <v/>
      </c>
    </row>
    <row r="402">
      <c r="A402" s="17" t="n"/>
      <c r="B402" s="17" t="n"/>
      <c r="C402" s="17" t="n"/>
      <c r="D402" s="18" t="n"/>
      <c r="E402" s="18" t="n"/>
      <c r="F402" s="19" t="n"/>
      <c r="G402" s="20" t="n"/>
      <c r="H402" s="21">
        <f>IF(AND(ISNUMBER(D402),ISNUMBER(E402)),E402-D402+1,"")</f>
        <v/>
      </c>
      <c r="I402" s="22">
        <f>IF(AND(ISNUMBER(F402),N(F402)&gt;0,ISNUMBER(G402)),G402/F402,"")</f>
        <v/>
      </c>
      <c r="J402" s="21">
        <f>IF(OR(A402="",B402=""),"",IF(C402=Yr_Cur,"CY",IF(C402=Yr_Prev,"PY","")))</f>
        <v/>
      </c>
      <c r="K402" s="21">
        <f>IF(J402="","",IF(J402="CY",SUMIFS(Dat_H,Dat_A,A402,Dat_B,B402,Dat_C,Yr_Prev),SUMIFS(Dat_H,Dat_A,A402,Dat_B,B402,Dat_C,Yr_Cur)))</f>
        <v/>
      </c>
      <c r="L402" s="21">
        <f>IF(J402="",0,IF(AND(ISNUMBER(H402),N(K402)&gt;0,ISNUMBER(F402),ISNUMBER(G402),OR(Sel_Market="All markets",A402=Sel_Market),COUNTIFS(Control!$B$11:$B$13,B402,Control!$C$11:$C$13,"Yes")&gt;0),1,0))</f>
        <v/>
      </c>
      <c r="M402" s="21">
        <f>IF(L402=1,IF(J402="CY",H402,K402),"")</f>
        <v/>
      </c>
      <c r="N402" s="21">
        <f>IF(L402=1,IF(J402="PY",H402,K402),"")</f>
        <v/>
      </c>
      <c r="O402" s="23">
        <f>IF(L402=1,IF(J402="PY",F402*M402/N402,F402),0)</f>
        <v/>
      </c>
      <c r="P402" s="23">
        <f>IF(L402=1,IF(J402="PY",G402*M402/N402,G402),0)</f>
        <v/>
      </c>
      <c r="Q402" s="23">
        <f>IF(AND(L402=1,J402="PY"),F402*(N402-M402)/N402,0)</f>
        <v/>
      </c>
      <c r="R402" s="23">
        <f>IF(AND(L402=1,J402="PY"),G402*(N402-M402)/N402,0)</f>
        <v/>
      </c>
      <c r="S402" s="21">
        <f>IF(COUNTA(A402:G402)=0,"",IF(OR(A402="",B402="",NOT(ISNUMBER(C402))),"Fill market, product and year",IF(COUNTIF(Control!$B$11:$B$13,B402)=0,"Unknown product",IF(COUNTIFS(Dat_A,A402,Dat_B,B402,Dat_C,C402)&gt;1,"Duplicate market/product/year",IF(OR(NOT(ISNUMBER(D402)),NOT(ISNUMBER(E402))),"Add launch date and Data through date",IF(E402&lt;D402,"Data through is before launch",IF(OR(NOT(ISNUMBER(F402)),NOT(ISNUMBER(G402))),"Add units and revenue","OK")))))))</f>
        <v/>
      </c>
    </row>
    <row r="403">
      <c r="A403" s="17" t="n"/>
      <c r="B403" s="17" t="n"/>
      <c r="C403" s="17" t="n"/>
      <c r="D403" s="18" t="n"/>
      <c r="E403" s="18" t="n"/>
      <c r="F403" s="19" t="n"/>
      <c r="G403" s="20" t="n"/>
      <c r="H403" s="21">
        <f>IF(AND(ISNUMBER(D403),ISNUMBER(E403)),E403-D403+1,"")</f>
        <v/>
      </c>
      <c r="I403" s="22">
        <f>IF(AND(ISNUMBER(F403),N(F403)&gt;0,ISNUMBER(G403)),G403/F403,"")</f>
        <v/>
      </c>
      <c r="J403" s="21">
        <f>IF(OR(A403="",B403=""),"",IF(C403=Yr_Cur,"CY",IF(C403=Yr_Prev,"PY","")))</f>
        <v/>
      </c>
      <c r="K403" s="21">
        <f>IF(J403="","",IF(J403="CY",SUMIFS(Dat_H,Dat_A,A403,Dat_B,B403,Dat_C,Yr_Prev),SUMIFS(Dat_H,Dat_A,A403,Dat_B,B403,Dat_C,Yr_Cur)))</f>
        <v/>
      </c>
      <c r="L403" s="21">
        <f>IF(J403="",0,IF(AND(ISNUMBER(H403),N(K403)&gt;0,ISNUMBER(F403),ISNUMBER(G403),OR(Sel_Market="All markets",A403=Sel_Market),COUNTIFS(Control!$B$11:$B$13,B403,Control!$C$11:$C$13,"Yes")&gt;0),1,0))</f>
        <v/>
      </c>
      <c r="M403" s="21">
        <f>IF(L403=1,IF(J403="CY",H403,K403),"")</f>
        <v/>
      </c>
      <c r="N403" s="21">
        <f>IF(L403=1,IF(J403="PY",H403,K403),"")</f>
        <v/>
      </c>
      <c r="O403" s="23">
        <f>IF(L403=1,IF(J403="PY",F403*M403/N403,F403),0)</f>
        <v/>
      </c>
      <c r="P403" s="23">
        <f>IF(L403=1,IF(J403="PY",G403*M403/N403,G403),0)</f>
        <v/>
      </c>
      <c r="Q403" s="23">
        <f>IF(AND(L403=1,J403="PY"),F403*(N403-M403)/N403,0)</f>
        <v/>
      </c>
      <c r="R403" s="23">
        <f>IF(AND(L403=1,J403="PY"),G403*(N403-M403)/N403,0)</f>
        <v/>
      </c>
      <c r="S403" s="21">
        <f>IF(COUNTA(A403:G403)=0,"",IF(OR(A403="",B403="",NOT(ISNUMBER(C403))),"Fill market, product and year",IF(COUNTIF(Control!$B$11:$B$13,B403)=0,"Unknown product",IF(COUNTIFS(Dat_A,A403,Dat_B,B403,Dat_C,C403)&gt;1,"Duplicate market/product/year",IF(OR(NOT(ISNUMBER(D403)),NOT(ISNUMBER(E403))),"Add launch date and Data through date",IF(E403&lt;D403,"Data through is before launch",IF(OR(NOT(ISNUMBER(F403)),NOT(ISNUMBER(G403))),"Add units and revenue","OK")))))))</f>
        <v/>
      </c>
    </row>
    <row r="404">
      <c r="A404" s="17" t="n"/>
      <c r="B404" s="17" t="n"/>
      <c r="C404" s="17" t="n"/>
      <c r="D404" s="18" t="n"/>
      <c r="E404" s="18" t="n"/>
      <c r="F404" s="19" t="n"/>
      <c r="G404" s="20" t="n"/>
      <c r="H404" s="21">
        <f>IF(AND(ISNUMBER(D404),ISNUMBER(E404)),E404-D404+1,"")</f>
        <v/>
      </c>
      <c r="I404" s="22">
        <f>IF(AND(ISNUMBER(F404),N(F404)&gt;0,ISNUMBER(G404)),G404/F404,"")</f>
        <v/>
      </c>
      <c r="J404" s="21">
        <f>IF(OR(A404="",B404=""),"",IF(C404=Yr_Cur,"CY",IF(C404=Yr_Prev,"PY","")))</f>
        <v/>
      </c>
      <c r="K404" s="21">
        <f>IF(J404="","",IF(J404="CY",SUMIFS(Dat_H,Dat_A,A404,Dat_B,B404,Dat_C,Yr_Prev),SUMIFS(Dat_H,Dat_A,A404,Dat_B,B404,Dat_C,Yr_Cur)))</f>
        <v/>
      </c>
      <c r="L404" s="21">
        <f>IF(J404="",0,IF(AND(ISNUMBER(H404),N(K404)&gt;0,ISNUMBER(F404),ISNUMBER(G404),OR(Sel_Market="All markets",A404=Sel_Market),COUNTIFS(Control!$B$11:$B$13,B404,Control!$C$11:$C$13,"Yes")&gt;0),1,0))</f>
        <v/>
      </c>
      <c r="M404" s="21">
        <f>IF(L404=1,IF(J404="CY",H404,K404),"")</f>
        <v/>
      </c>
      <c r="N404" s="21">
        <f>IF(L404=1,IF(J404="PY",H404,K404),"")</f>
        <v/>
      </c>
      <c r="O404" s="23">
        <f>IF(L404=1,IF(J404="PY",F404*M404/N404,F404),0)</f>
        <v/>
      </c>
      <c r="P404" s="23">
        <f>IF(L404=1,IF(J404="PY",G404*M404/N404,G404),0)</f>
        <v/>
      </c>
      <c r="Q404" s="23">
        <f>IF(AND(L404=1,J404="PY"),F404*(N404-M404)/N404,0)</f>
        <v/>
      </c>
      <c r="R404" s="23">
        <f>IF(AND(L404=1,J404="PY"),G404*(N404-M404)/N404,0)</f>
        <v/>
      </c>
      <c r="S404" s="21">
        <f>IF(COUNTA(A404:G404)=0,"",IF(OR(A404="",B404="",NOT(ISNUMBER(C404))),"Fill market, product and year",IF(COUNTIF(Control!$B$11:$B$13,B404)=0,"Unknown product",IF(COUNTIFS(Dat_A,A404,Dat_B,B404,Dat_C,C404)&gt;1,"Duplicate market/product/year",IF(OR(NOT(ISNUMBER(D404)),NOT(ISNUMBER(E404))),"Add launch date and Data through date",IF(E404&lt;D404,"Data through is before launch",IF(OR(NOT(ISNUMBER(F404)),NOT(ISNUMBER(G404))),"Add units and revenue","OK")))))))</f>
        <v/>
      </c>
    </row>
    <row r="405">
      <c r="A405" s="17" t="n"/>
      <c r="B405" s="17" t="n"/>
      <c r="C405" s="17" t="n"/>
      <c r="D405" s="18" t="n"/>
      <c r="E405" s="18" t="n"/>
      <c r="F405" s="19" t="n"/>
      <c r="G405" s="20" t="n"/>
      <c r="H405" s="21">
        <f>IF(AND(ISNUMBER(D405),ISNUMBER(E405)),E405-D405+1,"")</f>
        <v/>
      </c>
      <c r="I405" s="22">
        <f>IF(AND(ISNUMBER(F405),N(F405)&gt;0,ISNUMBER(G405)),G405/F405,"")</f>
        <v/>
      </c>
      <c r="J405" s="21">
        <f>IF(OR(A405="",B405=""),"",IF(C405=Yr_Cur,"CY",IF(C405=Yr_Prev,"PY","")))</f>
        <v/>
      </c>
      <c r="K405" s="21">
        <f>IF(J405="","",IF(J405="CY",SUMIFS(Dat_H,Dat_A,A405,Dat_B,B405,Dat_C,Yr_Prev),SUMIFS(Dat_H,Dat_A,A405,Dat_B,B405,Dat_C,Yr_Cur)))</f>
        <v/>
      </c>
      <c r="L405" s="21">
        <f>IF(J405="",0,IF(AND(ISNUMBER(H405),N(K405)&gt;0,ISNUMBER(F405),ISNUMBER(G405),OR(Sel_Market="All markets",A405=Sel_Market),COUNTIFS(Control!$B$11:$B$13,B405,Control!$C$11:$C$13,"Yes")&gt;0),1,0))</f>
        <v/>
      </c>
      <c r="M405" s="21">
        <f>IF(L405=1,IF(J405="CY",H405,K405),"")</f>
        <v/>
      </c>
      <c r="N405" s="21">
        <f>IF(L405=1,IF(J405="PY",H405,K405),"")</f>
        <v/>
      </c>
      <c r="O405" s="23">
        <f>IF(L405=1,IF(J405="PY",F405*M405/N405,F405),0)</f>
        <v/>
      </c>
      <c r="P405" s="23">
        <f>IF(L405=1,IF(J405="PY",G405*M405/N405,G405),0)</f>
        <v/>
      </c>
      <c r="Q405" s="23">
        <f>IF(AND(L405=1,J405="PY"),F405*(N405-M405)/N405,0)</f>
        <v/>
      </c>
      <c r="R405" s="23">
        <f>IF(AND(L405=1,J405="PY"),G405*(N405-M405)/N405,0)</f>
        <v/>
      </c>
      <c r="S405" s="21">
        <f>IF(COUNTA(A405:G405)=0,"",IF(OR(A405="",B405="",NOT(ISNUMBER(C405))),"Fill market, product and year",IF(COUNTIF(Control!$B$11:$B$13,B405)=0,"Unknown product",IF(COUNTIFS(Dat_A,A405,Dat_B,B405,Dat_C,C405)&gt;1,"Duplicate market/product/year",IF(OR(NOT(ISNUMBER(D405)),NOT(ISNUMBER(E405))),"Add launch date and Data through date",IF(E405&lt;D405,"Data through is before launch",IF(OR(NOT(ISNUMBER(F405)),NOT(ISNUMBER(G405))),"Add units and revenue","OK")))))))</f>
        <v/>
      </c>
    </row>
    <row r="406">
      <c r="A406" s="17" t="n"/>
      <c r="B406" s="17" t="n"/>
      <c r="C406" s="17" t="n"/>
      <c r="D406" s="18" t="n"/>
      <c r="E406" s="18" t="n"/>
      <c r="F406" s="19" t="n"/>
      <c r="G406" s="20" t="n"/>
      <c r="H406" s="21">
        <f>IF(AND(ISNUMBER(D406),ISNUMBER(E406)),E406-D406+1,"")</f>
        <v/>
      </c>
      <c r="I406" s="22">
        <f>IF(AND(ISNUMBER(F406),N(F406)&gt;0,ISNUMBER(G406)),G406/F406,"")</f>
        <v/>
      </c>
      <c r="J406" s="21">
        <f>IF(OR(A406="",B406=""),"",IF(C406=Yr_Cur,"CY",IF(C406=Yr_Prev,"PY","")))</f>
        <v/>
      </c>
      <c r="K406" s="21">
        <f>IF(J406="","",IF(J406="CY",SUMIFS(Dat_H,Dat_A,A406,Dat_B,B406,Dat_C,Yr_Prev),SUMIFS(Dat_H,Dat_A,A406,Dat_B,B406,Dat_C,Yr_Cur)))</f>
        <v/>
      </c>
      <c r="L406" s="21">
        <f>IF(J406="",0,IF(AND(ISNUMBER(H406),N(K406)&gt;0,ISNUMBER(F406),ISNUMBER(G406),OR(Sel_Market="All markets",A406=Sel_Market),COUNTIFS(Control!$B$11:$B$13,B406,Control!$C$11:$C$13,"Yes")&gt;0),1,0))</f>
        <v/>
      </c>
      <c r="M406" s="21">
        <f>IF(L406=1,IF(J406="CY",H406,K406),"")</f>
        <v/>
      </c>
      <c r="N406" s="21">
        <f>IF(L406=1,IF(J406="PY",H406,K406),"")</f>
        <v/>
      </c>
      <c r="O406" s="23">
        <f>IF(L406=1,IF(J406="PY",F406*M406/N406,F406),0)</f>
        <v/>
      </c>
      <c r="P406" s="23">
        <f>IF(L406=1,IF(J406="PY",G406*M406/N406,G406),0)</f>
        <v/>
      </c>
      <c r="Q406" s="23">
        <f>IF(AND(L406=1,J406="PY"),F406*(N406-M406)/N406,0)</f>
        <v/>
      </c>
      <c r="R406" s="23">
        <f>IF(AND(L406=1,J406="PY"),G406*(N406-M406)/N406,0)</f>
        <v/>
      </c>
      <c r="S406" s="21">
        <f>IF(COUNTA(A406:G406)=0,"",IF(OR(A406="",B406="",NOT(ISNUMBER(C406))),"Fill market, product and year",IF(COUNTIF(Control!$B$11:$B$13,B406)=0,"Unknown product",IF(COUNTIFS(Dat_A,A406,Dat_B,B406,Dat_C,C406)&gt;1,"Duplicate market/product/year",IF(OR(NOT(ISNUMBER(D406)),NOT(ISNUMBER(E406))),"Add launch date and Data through date",IF(E406&lt;D406,"Data through is before launch",IF(OR(NOT(ISNUMBER(F406)),NOT(ISNUMBER(G406))),"Add units and revenue","OK")))))))</f>
        <v/>
      </c>
    </row>
    <row r="407">
      <c r="A407" s="17" t="n"/>
      <c r="B407" s="17" t="n"/>
      <c r="C407" s="17" t="n"/>
      <c r="D407" s="18" t="n"/>
      <c r="E407" s="18" t="n"/>
      <c r="F407" s="19" t="n"/>
      <c r="G407" s="20" t="n"/>
      <c r="H407" s="21">
        <f>IF(AND(ISNUMBER(D407),ISNUMBER(E407)),E407-D407+1,"")</f>
        <v/>
      </c>
      <c r="I407" s="22">
        <f>IF(AND(ISNUMBER(F407),N(F407)&gt;0,ISNUMBER(G407)),G407/F407,"")</f>
        <v/>
      </c>
      <c r="J407" s="21">
        <f>IF(OR(A407="",B407=""),"",IF(C407=Yr_Cur,"CY",IF(C407=Yr_Prev,"PY","")))</f>
        <v/>
      </c>
      <c r="K407" s="21">
        <f>IF(J407="","",IF(J407="CY",SUMIFS(Dat_H,Dat_A,A407,Dat_B,B407,Dat_C,Yr_Prev),SUMIFS(Dat_H,Dat_A,A407,Dat_B,B407,Dat_C,Yr_Cur)))</f>
        <v/>
      </c>
      <c r="L407" s="21">
        <f>IF(J407="",0,IF(AND(ISNUMBER(H407),N(K407)&gt;0,ISNUMBER(F407),ISNUMBER(G407),OR(Sel_Market="All markets",A407=Sel_Market),COUNTIFS(Control!$B$11:$B$13,B407,Control!$C$11:$C$13,"Yes")&gt;0),1,0))</f>
        <v/>
      </c>
      <c r="M407" s="21">
        <f>IF(L407=1,IF(J407="CY",H407,K407),"")</f>
        <v/>
      </c>
      <c r="N407" s="21">
        <f>IF(L407=1,IF(J407="PY",H407,K407),"")</f>
        <v/>
      </c>
      <c r="O407" s="23">
        <f>IF(L407=1,IF(J407="PY",F407*M407/N407,F407),0)</f>
        <v/>
      </c>
      <c r="P407" s="23">
        <f>IF(L407=1,IF(J407="PY",G407*M407/N407,G407),0)</f>
        <v/>
      </c>
      <c r="Q407" s="23">
        <f>IF(AND(L407=1,J407="PY"),F407*(N407-M407)/N407,0)</f>
        <v/>
      </c>
      <c r="R407" s="23">
        <f>IF(AND(L407=1,J407="PY"),G407*(N407-M407)/N407,0)</f>
        <v/>
      </c>
      <c r="S407" s="21">
        <f>IF(COUNTA(A407:G407)=0,"",IF(OR(A407="",B407="",NOT(ISNUMBER(C407))),"Fill market, product and year",IF(COUNTIF(Control!$B$11:$B$13,B407)=0,"Unknown product",IF(COUNTIFS(Dat_A,A407,Dat_B,B407,Dat_C,C407)&gt;1,"Duplicate market/product/year",IF(OR(NOT(ISNUMBER(D407)),NOT(ISNUMBER(E407))),"Add launch date and Data through date",IF(E407&lt;D407,"Data through is before launch",IF(OR(NOT(ISNUMBER(F407)),NOT(ISNUMBER(G407))),"Add units and revenue","OK")))))))</f>
        <v/>
      </c>
    </row>
    <row r="408">
      <c r="A408" s="17" t="n"/>
      <c r="B408" s="17" t="n"/>
      <c r="C408" s="17" t="n"/>
      <c r="D408" s="18" t="n"/>
      <c r="E408" s="18" t="n"/>
      <c r="F408" s="19" t="n"/>
      <c r="G408" s="20" t="n"/>
      <c r="H408" s="21">
        <f>IF(AND(ISNUMBER(D408),ISNUMBER(E408)),E408-D408+1,"")</f>
        <v/>
      </c>
      <c r="I408" s="22">
        <f>IF(AND(ISNUMBER(F408),N(F408)&gt;0,ISNUMBER(G408)),G408/F408,"")</f>
        <v/>
      </c>
      <c r="J408" s="21">
        <f>IF(OR(A408="",B408=""),"",IF(C408=Yr_Cur,"CY",IF(C408=Yr_Prev,"PY","")))</f>
        <v/>
      </c>
      <c r="K408" s="21">
        <f>IF(J408="","",IF(J408="CY",SUMIFS(Dat_H,Dat_A,A408,Dat_B,B408,Dat_C,Yr_Prev),SUMIFS(Dat_H,Dat_A,A408,Dat_B,B408,Dat_C,Yr_Cur)))</f>
        <v/>
      </c>
      <c r="L408" s="21">
        <f>IF(J408="",0,IF(AND(ISNUMBER(H408),N(K408)&gt;0,ISNUMBER(F408),ISNUMBER(G408),OR(Sel_Market="All markets",A408=Sel_Market),COUNTIFS(Control!$B$11:$B$13,B408,Control!$C$11:$C$13,"Yes")&gt;0),1,0))</f>
        <v/>
      </c>
      <c r="M408" s="21">
        <f>IF(L408=1,IF(J408="CY",H408,K408),"")</f>
        <v/>
      </c>
      <c r="N408" s="21">
        <f>IF(L408=1,IF(J408="PY",H408,K408),"")</f>
        <v/>
      </c>
      <c r="O408" s="23">
        <f>IF(L408=1,IF(J408="PY",F408*M408/N408,F408),0)</f>
        <v/>
      </c>
      <c r="P408" s="23">
        <f>IF(L408=1,IF(J408="PY",G408*M408/N408,G408),0)</f>
        <v/>
      </c>
      <c r="Q408" s="23">
        <f>IF(AND(L408=1,J408="PY"),F408*(N408-M408)/N408,0)</f>
        <v/>
      </c>
      <c r="R408" s="23">
        <f>IF(AND(L408=1,J408="PY"),G408*(N408-M408)/N408,0)</f>
        <v/>
      </c>
      <c r="S408" s="21">
        <f>IF(COUNTA(A408:G408)=0,"",IF(OR(A408="",B408="",NOT(ISNUMBER(C408))),"Fill market, product and year",IF(COUNTIF(Control!$B$11:$B$13,B408)=0,"Unknown product",IF(COUNTIFS(Dat_A,A408,Dat_B,B408,Dat_C,C408)&gt;1,"Duplicate market/product/year",IF(OR(NOT(ISNUMBER(D408)),NOT(ISNUMBER(E408))),"Add launch date and Data through date",IF(E408&lt;D408,"Data through is before launch",IF(OR(NOT(ISNUMBER(F408)),NOT(ISNUMBER(G408))),"Add units and revenue","OK")))))))</f>
        <v/>
      </c>
    </row>
    <row r="409">
      <c r="A409" s="17" t="n"/>
      <c r="B409" s="17" t="n"/>
      <c r="C409" s="17" t="n"/>
      <c r="D409" s="18" t="n"/>
      <c r="E409" s="18" t="n"/>
      <c r="F409" s="19" t="n"/>
      <c r="G409" s="20" t="n"/>
      <c r="H409" s="21">
        <f>IF(AND(ISNUMBER(D409),ISNUMBER(E409)),E409-D409+1,"")</f>
        <v/>
      </c>
      <c r="I409" s="22">
        <f>IF(AND(ISNUMBER(F409),N(F409)&gt;0,ISNUMBER(G409)),G409/F409,"")</f>
        <v/>
      </c>
      <c r="J409" s="21">
        <f>IF(OR(A409="",B409=""),"",IF(C409=Yr_Cur,"CY",IF(C409=Yr_Prev,"PY","")))</f>
        <v/>
      </c>
      <c r="K409" s="21">
        <f>IF(J409="","",IF(J409="CY",SUMIFS(Dat_H,Dat_A,A409,Dat_B,B409,Dat_C,Yr_Prev),SUMIFS(Dat_H,Dat_A,A409,Dat_B,B409,Dat_C,Yr_Cur)))</f>
        <v/>
      </c>
      <c r="L409" s="21">
        <f>IF(J409="",0,IF(AND(ISNUMBER(H409),N(K409)&gt;0,ISNUMBER(F409),ISNUMBER(G409),OR(Sel_Market="All markets",A409=Sel_Market),COUNTIFS(Control!$B$11:$B$13,B409,Control!$C$11:$C$13,"Yes")&gt;0),1,0))</f>
        <v/>
      </c>
      <c r="M409" s="21">
        <f>IF(L409=1,IF(J409="CY",H409,K409),"")</f>
        <v/>
      </c>
      <c r="N409" s="21">
        <f>IF(L409=1,IF(J409="PY",H409,K409),"")</f>
        <v/>
      </c>
      <c r="O409" s="23">
        <f>IF(L409=1,IF(J409="PY",F409*M409/N409,F409),0)</f>
        <v/>
      </c>
      <c r="P409" s="23">
        <f>IF(L409=1,IF(J409="PY",G409*M409/N409,G409),0)</f>
        <v/>
      </c>
      <c r="Q409" s="23">
        <f>IF(AND(L409=1,J409="PY"),F409*(N409-M409)/N409,0)</f>
        <v/>
      </c>
      <c r="R409" s="23">
        <f>IF(AND(L409=1,J409="PY"),G409*(N409-M409)/N409,0)</f>
        <v/>
      </c>
      <c r="S409" s="21">
        <f>IF(COUNTA(A409:G409)=0,"",IF(OR(A409="",B409="",NOT(ISNUMBER(C409))),"Fill market, product and year",IF(COUNTIF(Control!$B$11:$B$13,B409)=0,"Unknown product",IF(COUNTIFS(Dat_A,A409,Dat_B,B409,Dat_C,C409)&gt;1,"Duplicate market/product/year",IF(OR(NOT(ISNUMBER(D409)),NOT(ISNUMBER(E409))),"Add launch date and Data through date",IF(E409&lt;D409,"Data through is before launch",IF(OR(NOT(ISNUMBER(F409)),NOT(ISNUMBER(G409))),"Add units and revenue","OK")))))))</f>
        <v/>
      </c>
    </row>
    <row r="410">
      <c r="A410" s="17" t="n"/>
      <c r="B410" s="17" t="n"/>
      <c r="C410" s="17" t="n"/>
      <c r="D410" s="18" t="n"/>
      <c r="E410" s="18" t="n"/>
      <c r="F410" s="19" t="n"/>
      <c r="G410" s="20" t="n"/>
      <c r="H410" s="21">
        <f>IF(AND(ISNUMBER(D410),ISNUMBER(E410)),E410-D410+1,"")</f>
        <v/>
      </c>
      <c r="I410" s="22">
        <f>IF(AND(ISNUMBER(F410),N(F410)&gt;0,ISNUMBER(G410)),G410/F410,"")</f>
        <v/>
      </c>
      <c r="J410" s="21">
        <f>IF(OR(A410="",B410=""),"",IF(C410=Yr_Cur,"CY",IF(C410=Yr_Prev,"PY","")))</f>
        <v/>
      </c>
      <c r="K410" s="21">
        <f>IF(J410="","",IF(J410="CY",SUMIFS(Dat_H,Dat_A,A410,Dat_B,B410,Dat_C,Yr_Prev),SUMIFS(Dat_H,Dat_A,A410,Dat_B,B410,Dat_C,Yr_Cur)))</f>
        <v/>
      </c>
      <c r="L410" s="21">
        <f>IF(J410="",0,IF(AND(ISNUMBER(H410),N(K410)&gt;0,ISNUMBER(F410),ISNUMBER(G410),OR(Sel_Market="All markets",A410=Sel_Market),COUNTIFS(Control!$B$11:$B$13,B410,Control!$C$11:$C$13,"Yes")&gt;0),1,0))</f>
        <v/>
      </c>
      <c r="M410" s="21">
        <f>IF(L410=1,IF(J410="CY",H410,K410),"")</f>
        <v/>
      </c>
      <c r="N410" s="21">
        <f>IF(L410=1,IF(J410="PY",H410,K410),"")</f>
        <v/>
      </c>
      <c r="O410" s="23">
        <f>IF(L410=1,IF(J410="PY",F410*M410/N410,F410),0)</f>
        <v/>
      </c>
      <c r="P410" s="23">
        <f>IF(L410=1,IF(J410="PY",G410*M410/N410,G410),0)</f>
        <v/>
      </c>
      <c r="Q410" s="23">
        <f>IF(AND(L410=1,J410="PY"),F410*(N410-M410)/N410,0)</f>
        <v/>
      </c>
      <c r="R410" s="23">
        <f>IF(AND(L410=1,J410="PY"),G410*(N410-M410)/N410,0)</f>
        <v/>
      </c>
      <c r="S410" s="21">
        <f>IF(COUNTA(A410:G410)=0,"",IF(OR(A410="",B410="",NOT(ISNUMBER(C410))),"Fill market, product and year",IF(COUNTIF(Control!$B$11:$B$13,B410)=0,"Unknown product",IF(COUNTIFS(Dat_A,A410,Dat_B,B410,Dat_C,C410)&gt;1,"Duplicate market/product/year",IF(OR(NOT(ISNUMBER(D410)),NOT(ISNUMBER(E410))),"Add launch date and Data through date",IF(E410&lt;D410,"Data through is before launch",IF(OR(NOT(ISNUMBER(F410)),NOT(ISNUMBER(G410))),"Add units and revenue","OK")))))))</f>
        <v/>
      </c>
    </row>
    <row r="411">
      <c r="A411" s="17" t="n"/>
      <c r="B411" s="17" t="n"/>
      <c r="C411" s="17" t="n"/>
      <c r="D411" s="18" t="n"/>
      <c r="E411" s="18" t="n"/>
      <c r="F411" s="19" t="n"/>
      <c r="G411" s="20" t="n"/>
      <c r="H411" s="21">
        <f>IF(AND(ISNUMBER(D411),ISNUMBER(E411)),E411-D411+1,"")</f>
        <v/>
      </c>
      <c r="I411" s="22">
        <f>IF(AND(ISNUMBER(F411),N(F411)&gt;0,ISNUMBER(G411)),G411/F411,"")</f>
        <v/>
      </c>
      <c r="J411" s="21">
        <f>IF(OR(A411="",B411=""),"",IF(C411=Yr_Cur,"CY",IF(C411=Yr_Prev,"PY","")))</f>
        <v/>
      </c>
      <c r="K411" s="21">
        <f>IF(J411="","",IF(J411="CY",SUMIFS(Dat_H,Dat_A,A411,Dat_B,B411,Dat_C,Yr_Prev),SUMIFS(Dat_H,Dat_A,A411,Dat_B,B411,Dat_C,Yr_Cur)))</f>
        <v/>
      </c>
      <c r="L411" s="21">
        <f>IF(J411="",0,IF(AND(ISNUMBER(H411),N(K411)&gt;0,ISNUMBER(F411),ISNUMBER(G411),OR(Sel_Market="All markets",A411=Sel_Market),COUNTIFS(Control!$B$11:$B$13,B411,Control!$C$11:$C$13,"Yes")&gt;0),1,0))</f>
        <v/>
      </c>
      <c r="M411" s="21">
        <f>IF(L411=1,IF(J411="CY",H411,K411),"")</f>
        <v/>
      </c>
      <c r="N411" s="21">
        <f>IF(L411=1,IF(J411="PY",H411,K411),"")</f>
        <v/>
      </c>
      <c r="O411" s="23">
        <f>IF(L411=1,IF(J411="PY",F411*M411/N411,F411),0)</f>
        <v/>
      </c>
      <c r="P411" s="23">
        <f>IF(L411=1,IF(J411="PY",G411*M411/N411,G411),0)</f>
        <v/>
      </c>
      <c r="Q411" s="23">
        <f>IF(AND(L411=1,J411="PY"),F411*(N411-M411)/N411,0)</f>
        <v/>
      </c>
      <c r="R411" s="23">
        <f>IF(AND(L411=1,J411="PY"),G411*(N411-M411)/N411,0)</f>
        <v/>
      </c>
      <c r="S411" s="21">
        <f>IF(COUNTA(A411:G411)=0,"",IF(OR(A411="",B411="",NOT(ISNUMBER(C411))),"Fill market, product and year",IF(COUNTIF(Control!$B$11:$B$13,B411)=0,"Unknown product",IF(COUNTIFS(Dat_A,A411,Dat_B,B411,Dat_C,C411)&gt;1,"Duplicate market/product/year",IF(OR(NOT(ISNUMBER(D411)),NOT(ISNUMBER(E411))),"Add launch date and Data through date",IF(E411&lt;D411,"Data through is before launch",IF(OR(NOT(ISNUMBER(F411)),NOT(ISNUMBER(G411))),"Add units and revenue","OK")))))))</f>
        <v/>
      </c>
    </row>
    <row r="412">
      <c r="A412" s="17" t="n"/>
      <c r="B412" s="17" t="n"/>
      <c r="C412" s="17" t="n"/>
      <c r="D412" s="18" t="n"/>
      <c r="E412" s="18" t="n"/>
      <c r="F412" s="19" t="n"/>
      <c r="G412" s="20" t="n"/>
      <c r="H412" s="21">
        <f>IF(AND(ISNUMBER(D412),ISNUMBER(E412)),E412-D412+1,"")</f>
        <v/>
      </c>
      <c r="I412" s="22">
        <f>IF(AND(ISNUMBER(F412),N(F412)&gt;0,ISNUMBER(G412)),G412/F412,"")</f>
        <v/>
      </c>
      <c r="J412" s="21">
        <f>IF(OR(A412="",B412=""),"",IF(C412=Yr_Cur,"CY",IF(C412=Yr_Prev,"PY","")))</f>
        <v/>
      </c>
      <c r="K412" s="21">
        <f>IF(J412="","",IF(J412="CY",SUMIFS(Dat_H,Dat_A,A412,Dat_B,B412,Dat_C,Yr_Prev),SUMIFS(Dat_H,Dat_A,A412,Dat_B,B412,Dat_C,Yr_Cur)))</f>
        <v/>
      </c>
      <c r="L412" s="21">
        <f>IF(J412="",0,IF(AND(ISNUMBER(H412),N(K412)&gt;0,ISNUMBER(F412),ISNUMBER(G412),OR(Sel_Market="All markets",A412=Sel_Market),COUNTIFS(Control!$B$11:$B$13,B412,Control!$C$11:$C$13,"Yes")&gt;0),1,0))</f>
        <v/>
      </c>
      <c r="M412" s="21">
        <f>IF(L412=1,IF(J412="CY",H412,K412),"")</f>
        <v/>
      </c>
      <c r="N412" s="21">
        <f>IF(L412=1,IF(J412="PY",H412,K412),"")</f>
        <v/>
      </c>
      <c r="O412" s="23">
        <f>IF(L412=1,IF(J412="PY",F412*M412/N412,F412),0)</f>
        <v/>
      </c>
      <c r="P412" s="23">
        <f>IF(L412=1,IF(J412="PY",G412*M412/N412,G412),0)</f>
        <v/>
      </c>
      <c r="Q412" s="23">
        <f>IF(AND(L412=1,J412="PY"),F412*(N412-M412)/N412,0)</f>
        <v/>
      </c>
      <c r="R412" s="23">
        <f>IF(AND(L412=1,J412="PY"),G412*(N412-M412)/N412,0)</f>
        <v/>
      </c>
      <c r="S412" s="21">
        <f>IF(COUNTA(A412:G412)=0,"",IF(OR(A412="",B412="",NOT(ISNUMBER(C412))),"Fill market, product and year",IF(COUNTIF(Control!$B$11:$B$13,B412)=0,"Unknown product",IF(COUNTIFS(Dat_A,A412,Dat_B,B412,Dat_C,C412)&gt;1,"Duplicate market/product/year",IF(OR(NOT(ISNUMBER(D412)),NOT(ISNUMBER(E412))),"Add launch date and Data through date",IF(E412&lt;D412,"Data through is before launch",IF(OR(NOT(ISNUMBER(F412)),NOT(ISNUMBER(G412))),"Add units and revenue","OK")))))))</f>
        <v/>
      </c>
    </row>
    <row r="413">
      <c r="A413" s="17" t="n"/>
      <c r="B413" s="17" t="n"/>
      <c r="C413" s="17" t="n"/>
      <c r="D413" s="18" t="n"/>
      <c r="E413" s="18" t="n"/>
      <c r="F413" s="19" t="n"/>
      <c r="G413" s="20" t="n"/>
      <c r="H413" s="21">
        <f>IF(AND(ISNUMBER(D413),ISNUMBER(E413)),E413-D413+1,"")</f>
        <v/>
      </c>
      <c r="I413" s="22">
        <f>IF(AND(ISNUMBER(F413),N(F413)&gt;0,ISNUMBER(G413)),G413/F413,"")</f>
        <v/>
      </c>
      <c r="J413" s="21">
        <f>IF(OR(A413="",B413=""),"",IF(C413=Yr_Cur,"CY",IF(C413=Yr_Prev,"PY","")))</f>
        <v/>
      </c>
      <c r="K413" s="21">
        <f>IF(J413="","",IF(J413="CY",SUMIFS(Dat_H,Dat_A,A413,Dat_B,B413,Dat_C,Yr_Prev),SUMIFS(Dat_H,Dat_A,A413,Dat_B,B413,Dat_C,Yr_Cur)))</f>
        <v/>
      </c>
      <c r="L413" s="21">
        <f>IF(J413="",0,IF(AND(ISNUMBER(H413),N(K413)&gt;0,ISNUMBER(F413),ISNUMBER(G413),OR(Sel_Market="All markets",A413=Sel_Market),COUNTIFS(Control!$B$11:$B$13,B413,Control!$C$11:$C$13,"Yes")&gt;0),1,0))</f>
        <v/>
      </c>
      <c r="M413" s="21">
        <f>IF(L413=1,IF(J413="CY",H413,K413),"")</f>
        <v/>
      </c>
      <c r="N413" s="21">
        <f>IF(L413=1,IF(J413="PY",H413,K413),"")</f>
        <v/>
      </c>
      <c r="O413" s="23">
        <f>IF(L413=1,IF(J413="PY",F413*M413/N413,F413),0)</f>
        <v/>
      </c>
      <c r="P413" s="23">
        <f>IF(L413=1,IF(J413="PY",G413*M413/N413,G413),0)</f>
        <v/>
      </c>
      <c r="Q413" s="23">
        <f>IF(AND(L413=1,J413="PY"),F413*(N413-M413)/N413,0)</f>
        <v/>
      </c>
      <c r="R413" s="23">
        <f>IF(AND(L413=1,J413="PY"),G413*(N413-M413)/N413,0)</f>
        <v/>
      </c>
      <c r="S413" s="21">
        <f>IF(COUNTA(A413:G413)=0,"",IF(OR(A413="",B413="",NOT(ISNUMBER(C413))),"Fill market, product and year",IF(COUNTIF(Control!$B$11:$B$13,B413)=0,"Unknown product",IF(COUNTIFS(Dat_A,A413,Dat_B,B413,Dat_C,C413)&gt;1,"Duplicate market/product/year",IF(OR(NOT(ISNUMBER(D413)),NOT(ISNUMBER(E413))),"Add launch date and Data through date",IF(E413&lt;D413,"Data through is before launch",IF(OR(NOT(ISNUMBER(F413)),NOT(ISNUMBER(G413))),"Add units and revenue","OK")))))))</f>
        <v/>
      </c>
    </row>
    <row r="414">
      <c r="A414" s="17" t="n"/>
      <c r="B414" s="17" t="n"/>
      <c r="C414" s="17" t="n"/>
      <c r="D414" s="18" t="n"/>
      <c r="E414" s="18" t="n"/>
      <c r="F414" s="19" t="n"/>
      <c r="G414" s="20" t="n"/>
      <c r="H414" s="21">
        <f>IF(AND(ISNUMBER(D414),ISNUMBER(E414)),E414-D414+1,"")</f>
        <v/>
      </c>
      <c r="I414" s="22">
        <f>IF(AND(ISNUMBER(F414),N(F414)&gt;0,ISNUMBER(G414)),G414/F414,"")</f>
        <v/>
      </c>
      <c r="J414" s="21">
        <f>IF(OR(A414="",B414=""),"",IF(C414=Yr_Cur,"CY",IF(C414=Yr_Prev,"PY","")))</f>
        <v/>
      </c>
      <c r="K414" s="21">
        <f>IF(J414="","",IF(J414="CY",SUMIFS(Dat_H,Dat_A,A414,Dat_B,B414,Dat_C,Yr_Prev),SUMIFS(Dat_H,Dat_A,A414,Dat_B,B414,Dat_C,Yr_Cur)))</f>
        <v/>
      </c>
      <c r="L414" s="21">
        <f>IF(J414="",0,IF(AND(ISNUMBER(H414),N(K414)&gt;0,ISNUMBER(F414),ISNUMBER(G414),OR(Sel_Market="All markets",A414=Sel_Market),COUNTIFS(Control!$B$11:$B$13,B414,Control!$C$11:$C$13,"Yes")&gt;0),1,0))</f>
        <v/>
      </c>
      <c r="M414" s="21">
        <f>IF(L414=1,IF(J414="CY",H414,K414),"")</f>
        <v/>
      </c>
      <c r="N414" s="21">
        <f>IF(L414=1,IF(J414="PY",H414,K414),"")</f>
        <v/>
      </c>
      <c r="O414" s="23">
        <f>IF(L414=1,IF(J414="PY",F414*M414/N414,F414),0)</f>
        <v/>
      </c>
      <c r="P414" s="23">
        <f>IF(L414=1,IF(J414="PY",G414*M414/N414,G414),0)</f>
        <v/>
      </c>
      <c r="Q414" s="23">
        <f>IF(AND(L414=1,J414="PY"),F414*(N414-M414)/N414,0)</f>
        <v/>
      </c>
      <c r="R414" s="23">
        <f>IF(AND(L414=1,J414="PY"),G414*(N414-M414)/N414,0)</f>
        <v/>
      </c>
      <c r="S414" s="21">
        <f>IF(COUNTA(A414:G414)=0,"",IF(OR(A414="",B414="",NOT(ISNUMBER(C414))),"Fill market, product and year",IF(COUNTIF(Control!$B$11:$B$13,B414)=0,"Unknown product",IF(COUNTIFS(Dat_A,A414,Dat_B,B414,Dat_C,C414)&gt;1,"Duplicate market/product/year",IF(OR(NOT(ISNUMBER(D414)),NOT(ISNUMBER(E414))),"Add launch date and Data through date",IF(E414&lt;D414,"Data through is before launch",IF(OR(NOT(ISNUMBER(F414)),NOT(ISNUMBER(G414))),"Add units and revenue","OK")))))))</f>
        <v/>
      </c>
    </row>
    <row r="415">
      <c r="A415" s="17" t="n"/>
      <c r="B415" s="17" t="n"/>
      <c r="C415" s="17" t="n"/>
      <c r="D415" s="18" t="n"/>
      <c r="E415" s="18" t="n"/>
      <c r="F415" s="19" t="n"/>
      <c r="G415" s="20" t="n"/>
      <c r="H415" s="21">
        <f>IF(AND(ISNUMBER(D415),ISNUMBER(E415)),E415-D415+1,"")</f>
        <v/>
      </c>
      <c r="I415" s="22">
        <f>IF(AND(ISNUMBER(F415),N(F415)&gt;0,ISNUMBER(G415)),G415/F415,"")</f>
        <v/>
      </c>
      <c r="J415" s="21">
        <f>IF(OR(A415="",B415=""),"",IF(C415=Yr_Cur,"CY",IF(C415=Yr_Prev,"PY","")))</f>
        <v/>
      </c>
      <c r="K415" s="21">
        <f>IF(J415="","",IF(J415="CY",SUMIFS(Dat_H,Dat_A,A415,Dat_B,B415,Dat_C,Yr_Prev),SUMIFS(Dat_H,Dat_A,A415,Dat_B,B415,Dat_C,Yr_Cur)))</f>
        <v/>
      </c>
      <c r="L415" s="21">
        <f>IF(J415="",0,IF(AND(ISNUMBER(H415),N(K415)&gt;0,ISNUMBER(F415),ISNUMBER(G415),OR(Sel_Market="All markets",A415=Sel_Market),COUNTIFS(Control!$B$11:$B$13,B415,Control!$C$11:$C$13,"Yes")&gt;0),1,0))</f>
        <v/>
      </c>
      <c r="M415" s="21">
        <f>IF(L415=1,IF(J415="CY",H415,K415),"")</f>
        <v/>
      </c>
      <c r="N415" s="21">
        <f>IF(L415=1,IF(J415="PY",H415,K415),"")</f>
        <v/>
      </c>
      <c r="O415" s="23">
        <f>IF(L415=1,IF(J415="PY",F415*M415/N415,F415),0)</f>
        <v/>
      </c>
      <c r="P415" s="23">
        <f>IF(L415=1,IF(J415="PY",G415*M415/N415,G415),0)</f>
        <v/>
      </c>
      <c r="Q415" s="23">
        <f>IF(AND(L415=1,J415="PY"),F415*(N415-M415)/N415,0)</f>
        <v/>
      </c>
      <c r="R415" s="23">
        <f>IF(AND(L415=1,J415="PY"),G415*(N415-M415)/N415,0)</f>
        <v/>
      </c>
      <c r="S415" s="21">
        <f>IF(COUNTA(A415:G415)=0,"",IF(OR(A415="",B415="",NOT(ISNUMBER(C415))),"Fill market, product and year",IF(COUNTIF(Control!$B$11:$B$13,B415)=0,"Unknown product",IF(COUNTIFS(Dat_A,A415,Dat_B,B415,Dat_C,C415)&gt;1,"Duplicate market/product/year",IF(OR(NOT(ISNUMBER(D415)),NOT(ISNUMBER(E415))),"Add launch date and Data through date",IF(E415&lt;D415,"Data through is before launch",IF(OR(NOT(ISNUMBER(F415)),NOT(ISNUMBER(G415))),"Add units and revenue","OK")))))))</f>
        <v/>
      </c>
    </row>
    <row r="416">
      <c r="A416" s="17" t="n"/>
      <c r="B416" s="17" t="n"/>
      <c r="C416" s="17" t="n"/>
      <c r="D416" s="18" t="n"/>
      <c r="E416" s="18" t="n"/>
      <c r="F416" s="19" t="n"/>
      <c r="G416" s="20" t="n"/>
      <c r="H416" s="21">
        <f>IF(AND(ISNUMBER(D416),ISNUMBER(E416)),E416-D416+1,"")</f>
        <v/>
      </c>
      <c r="I416" s="22">
        <f>IF(AND(ISNUMBER(F416),N(F416)&gt;0,ISNUMBER(G416)),G416/F416,"")</f>
        <v/>
      </c>
      <c r="J416" s="21">
        <f>IF(OR(A416="",B416=""),"",IF(C416=Yr_Cur,"CY",IF(C416=Yr_Prev,"PY","")))</f>
        <v/>
      </c>
      <c r="K416" s="21">
        <f>IF(J416="","",IF(J416="CY",SUMIFS(Dat_H,Dat_A,A416,Dat_B,B416,Dat_C,Yr_Prev),SUMIFS(Dat_H,Dat_A,A416,Dat_B,B416,Dat_C,Yr_Cur)))</f>
        <v/>
      </c>
      <c r="L416" s="21">
        <f>IF(J416="",0,IF(AND(ISNUMBER(H416),N(K416)&gt;0,ISNUMBER(F416),ISNUMBER(G416),OR(Sel_Market="All markets",A416=Sel_Market),COUNTIFS(Control!$B$11:$B$13,B416,Control!$C$11:$C$13,"Yes")&gt;0),1,0))</f>
        <v/>
      </c>
      <c r="M416" s="21">
        <f>IF(L416=1,IF(J416="CY",H416,K416),"")</f>
        <v/>
      </c>
      <c r="N416" s="21">
        <f>IF(L416=1,IF(J416="PY",H416,K416),"")</f>
        <v/>
      </c>
      <c r="O416" s="23">
        <f>IF(L416=1,IF(J416="PY",F416*M416/N416,F416),0)</f>
        <v/>
      </c>
      <c r="P416" s="23">
        <f>IF(L416=1,IF(J416="PY",G416*M416/N416,G416),0)</f>
        <v/>
      </c>
      <c r="Q416" s="23">
        <f>IF(AND(L416=1,J416="PY"),F416*(N416-M416)/N416,0)</f>
        <v/>
      </c>
      <c r="R416" s="23">
        <f>IF(AND(L416=1,J416="PY"),G416*(N416-M416)/N416,0)</f>
        <v/>
      </c>
      <c r="S416" s="21">
        <f>IF(COUNTA(A416:G416)=0,"",IF(OR(A416="",B416="",NOT(ISNUMBER(C416))),"Fill market, product and year",IF(COUNTIF(Control!$B$11:$B$13,B416)=0,"Unknown product",IF(COUNTIFS(Dat_A,A416,Dat_B,B416,Dat_C,C416)&gt;1,"Duplicate market/product/year",IF(OR(NOT(ISNUMBER(D416)),NOT(ISNUMBER(E416))),"Add launch date and Data through date",IF(E416&lt;D416,"Data through is before launch",IF(OR(NOT(ISNUMBER(F416)),NOT(ISNUMBER(G416))),"Add units and revenue","OK")))))))</f>
        <v/>
      </c>
    </row>
    <row r="417">
      <c r="A417" s="17" t="n"/>
      <c r="B417" s="17" t="n"/>
      <c r="C417" s="17" t="n"/>
      <c r="D417" s="18" t="n"/>
      <c r="E417" s="18" t="n"/>
      <c r="F417" s="19" t="n"/>
      <c r="G417" s="20" t="n"/>
      <c r="H417" s="21">
        <f>IF(AND(ISNUMBER(D417),ISNUMBER(E417)),E417-D417+1,"")</f>
        <v/>
      </c>
      <c r="I417" s="22">
        <f>IF(AND(ISNUMBER(F417),N(F417)&gt;0,ISNUMBER(G417)),G417/F417,"")</f>
        <v/>
      </c>
      <c r="J417" s="21">
        <f>IF(OR(A417="",B417=""),"",IF(C417=Yr_Cur,"CY",IF(C417=Yr_Prev,"PY","")))</f>
        <v/>
      </c>
      <c r="K417" s="21">
        <f>IF(J417="","",IF(J417="CY",SUMIFS(Dat_H,Dat_A,A417,Dat_B,B417,Dat_C,Yr_Prev),SUMIFS(Dat_H,Dat_A,A417,Dat_B,B417,Dat_C,Yr_Cur)))</f>
        <v/>
      </c>
      <c r="L417" s="21">
        <f>IF(J417="",0,IF(AND(ISNUMBER(H417),N(K417)&gt;0,ISNUMBER(F417),ISNUMBER(G417),OR(Sel_Market="All markets",A417=Sel_Market),COUNTIFS(Control!$B$11:$B$13,B417,Control!$C$11:$C$13,"Yes")&gt;0),1,0))</f>
        <v/>
      </c>
      <c r="M417" s="21">
        <f>IF(L417=1,IF(J417="CY",H417,K417),"")</f>
        <v/>
      </c>
      <c r="N417" s="21">
        <f>IF(L417=1,IF(J417="PY",H417,K417),"")</f>
        <v/>
      </c>
      <c r="O417" s="23">
        <f>IF(L417=1,IF(J417="PY",F417*M417/N417,F417),0)</f>
        <v/>
      </c>
      <c r="P417" s="23">
        <f>IF(L417=1,IF(J417="PY",G417*M417/N417,G417),0)</f>
        <v/>
      </c>
      <c r="Q417" s="23">
        <f>IF(AND(L417=1,J417="PY"),F417*(N417-M417)/N417,0)</f>
        <v/>
      </c>
      <c r="R417" s="23">
        <f>IF(AND(L417=1,J417="PY"),G417*(N417-M417)/N417,0)</f>
        <v/>
      </c>
      <c r="S417" s="21">
        <f>IF(COUNTA(A417:G417)=0,"",IF(OR(A417="",B417="",NOT(ISNUMBER(C417))),"Fill market, product and year",IF(COUNTIF(Control!$B$11:$B$13,B417)=0,"Unknown product",IF(COUNTIFS(Dat_A,A417,Dat_B,B417,Dat_C,C417)&gt;1,"Duplicate market/product/year",IF(OR(NOT(ISNUMBER(D417)),NOT(ISNUMBER(E417))),"Add launch date and Data through date",IF(E417&lt;D417,"Data through is before launch",IF(OR(NOT(ISNUMBER(F417)),NOT(ISNUMBER(G417))),"Add units and revenue","OK")))))))</f>
        <v/>
      </c>
    </row>
    <row r="418">
      <c r="A418" s="17" t="n"/>
      <c r="B418" s="17" t="n"/>
      <c r="C418" s="17" t="n"/>
      <c r="D418" s="18" t="n"/>
      <c r="E418" s="18" t="n"/>
      <c r="F418" s="19" t="n"/>
      <c r="G418" s="20" t="n"/>
      <c r="H418" s="21">
        <f>IF(AND(ISNUMBER(D418),ISNUMBER(E418)),E418-D418+1,"")</f>
        <v/>
      </c>
      <c r="I418" s="22">
        <f>IF(AND(ISNUMBER(F418),N(F418)&gt;0,ISNUMBER(G418)),G418/F418,"")</f>
        <v/>
      </c>
      <c r="J418" s="21">
        <f>IF(OR(A418="",B418=""),"",IF(C418=Yr_Cur,"CY",IF(C418=Yr_Prev,"PY","")))</f>
        <v/>
      </c>
      <c r="K418" s="21">
        <f>IF(J418="","",IF(J418="CY",SUMIFS(Dat_H,Dat_A,A418,Dat_B,B418,Dat_C,Yr_Prev),SUMIFS(Dat_H,Dat_A,A418,Dat_B,B418,Dat_C,Yr_Cur)))</f>
        <v/>
      </c>
      <c r="L418" s="21">
        <f>IF(J418="",0,IF(AND(ISNUMBER(H418),N(K418)&gt;0,ISNUMBER(F418),ISNUMBER(G418),OR(Sel_Market="All markets",A418=Sel_Market),COUNTIFS(Control!$B$11:$B$13,B418,Control!$C$11:$C$13,"Yes")&gt;0),1,0))</f>
        <v/>
      </c>
      <c r="M418" s="21">
        <f>IF(L418=1,IF(J418="CY",H418,K418),"")</f>
        <v/>
      </c>
      <c r="N418" s="21">
        <f>IF(L418=1,IF(J418="PY",H418,K418),"")</f>
        <v/>
      </c>
      <c r="O418" s="23">
        <f>IF(L418=1,IF(J418="PY",F418*M418/N418,F418),0)</f>
        <v/>
      </c>
      <c r="P418" s="23">
        <f>IF(L418=1,IF(J418="PY",G418*M418/N418,G418),0)</f>
        <v/>
      </c>
      <c r="Q418" s="23">
        <f>IF(AND(L418=1,J418="PY"),F418*(N418-M418)/N418,0)</f>
        <v/>
      </c>
      <c r="R418" s="23">
        <f>IF(AND(L418=1,J418="PY"),G418*(N418-M418)/N418,0)</f>
        <v/>
      </c>
      <c r="S418" s="21">
        <f>IF(COUNTA(A418:G418)=0,"",IF(OR(A418="",B418="",NOT(ISNUMBER(C418))),"Fill market, product and year",IF(COUNTIF(Control!$B$11:$B$13,B418)=0,"Unknown product",IF(COUNTIFS(Dat_A,A418,Dat_B,B418,Dat_C,C418)&gt;1,"Duplicate market/product/year",IF(OR(NOT(ISNUMBER(D418)),NOT(ISNUMBER(E418))),"Add launch date and Data through date",IF(E418&lt;D418,"Data through is before launch",IF(OR(NOT(ISNUMBER(F418)),NOT(ISNUMBER(G418))),"Add units and revenue","OK")))))))</f>
        <v/>
      </c>
    </row>
    <row r="419">
      <c r="A419" s="17" t="n"/>
      <c r="B419" s="17" t="n"/>
      <c r="C419" s="17" t="n"/>
      <c r="D419" s="18" t="n"/>
      <c r="E419" s="18" t="n"/>
      <c r="F419" s="19" t="n"/>
      <c r="G419" s="20" t="n"/>
      <c r="H419" s="21">
        <f>IF(AND(ISNUMBER(D419),ISNUMBER(E419)),E419-D419+1,"")</f>
        <v/>
      </c>
      <c r="I419" s="22">
        <f>IF(AND(ISNUMBER(F419),N(F419)&gt;0,ISNUMBER(G419)),G419/F419,"")</f>
        <v/>
      </c>
      <c r="J419" s="21">
        <f>IF(OR(A419="",B419=""),"",IF(C419=Yr_Cur,"CY",IF(C419=Yr_Prev,"PY","")))</f>
        <v/>
      </c>
      <c r="K419" s="21">
        <f>IF(J419="","",IF(J419="CY",SUMIFS(Dat_H,Dat_A,A419,Dat_B,B419,Dat_C,Yr_Prev),SUMIFS(Dat_H,Dat_A,A419,Dat_B,B419,Dat_C,Yr_Cur)))</f>
        <v/>
      </c>
      <c r="L419" s="21">
        <f>IF(J419="",0,IF(AND(ISNUMBER(H419),N(K419)&gt;0,ISNUMBER(F419),ISNUMBER(G419),OR(Sel_Market="All markets",A419=Sel_Market),COUNTIFS(Control!$B$11:$B$13,B419,Control!$C$11:$C$13,"Yes")&gt;0),1,0))</f>
        <v/>
      </c>
      <c r="M419" s="21">
        <f>IF(L419=1,IF(J419="CY",H419,K419),"")</f>
        <v/>
      </c>
      <c r="N419" s="21">
        <f>IF(L419=1,IF(J419="PY",H419,K419),"")</f>
        <v/>
      </c>
      <c r="O419" s="23">
        <f>IF(L419=1,IF(J419="PY",F419*M419/N419,F419),0)</f>
        <v/>
      </c>
      <c r="P419" s="23">
        <f>IF(L419=1,IF(J419="PY",G419*M419/N419,G419),0)</f>
        <v/>
      </c>
      <c r="Q419" s="23">
        <f>IF(AND(L419=1,J419="PY"),F419*(N419-M419)/N419,0)</f>
        <v/>
      </c>
      <c r="R419" s="23">
        <f>IF(AND(L419=1,J419="PY"),G419*(N419-M419)/N419,0)</f>
        <v/>
      </c>
      <c r="S419" s="21">
        <f>IF(COUNTA(A419:G419)=0,"",IF(OR(A419="",B419="",NOT(ISNUMBER(C419))),"Fill market, product and year",IF(COUNTIF(Control!$B$11:$B$13,B419)=0,"Unknown product",IF(COUNTIFS(Dat_A,A419,Dat_B,B419,Dat_C,C419)&gt;1,"Duplicate market/product/year",IF(OR(NOT(ISNUMBER(D419)),NOT(ISNUMBER(E419))),"Add launch date and Data through date",IF(E419&lt;D419,"Data through is before launch",IF(OR(NOT(ISNUMBER(F419)),NOT(ISNUMBER(G419))),"Add units and revenue","OK")))))))</f>
        <v/>
      </c>
    </row>
    <row r="420">
      <c r="A420" s="17" t="n"/>
      <c r="B420" s="17" t="n"/>
      <c r="C420" s="17" t="n"/>
      <c r="D420" s="18" t="n"/>
      <c r="E420" s="18" t="n"/>
      <c r="F420" s="19" t="n"/>
      <c r="G420" s="20" t="n"/>
      <c r="H420" s="21">
        <f>IF(AND(ISNUMBER(D420),ISNUMBER(E420)),E420-D420+1,"")</f>
        <v/>
      </c>
      <c r="I420" s="22">
        <f>IF(AND(ISNUMBER(F420),N(F420)&gt;0,ISNUMBER(G420)),G420/F420,"")</f>
        <v/>
      </c>
      <c r="J420" s="21">
        <f>IF(OR(A420="",B420=""),"",IF(C420=Yr_Cur,"CY",IF(C420=Yr_Prev,"PY","")))</f>
        <v/>
      </c>
      <c r="K420" s="21">
        <f>IF(J420="","",IF(J420="CY",SUMIFS(Dat_H,Dat_A,A420,Dat_B,B420,Dat_C,Yr_Prev),SUMIFS(Dat_H,Dat_A,A420,Dat_B,B420,Dat_C,Yr_Cur)))</f>
        <v/>
      </c>
      <c r="L420" s="21">
        <f>IF(J420="",0,IF(AND(ISNUMBER(H420),N(K420)&gt;0,ISNUMBER(F420),ISNUMBER(G420),OR(Sel_Market="All markets",A420=Sel_Market),COUNTIFS(Control!$B$11:$B$13,B420,Control!$C$11:$C$13,"Yes")&gt;0),1,0))</f>
        <v/>
      </c>
      <c r="M420" s="21">
        <f>IF(L420=1,IF(J420="CY",H420,K420),"")</f>
        <v/>
      </c>
      <c r="N420" s="21">
        <f>IF(L420=1,IF(J420="PY",H420,K420),"")</f>
        <v/>
      </c>
      <c r="O420" s="23">
        <f>IF(L420=1,IF(J420="PY",F420*M420/N420,F420),0)</f>
        <v/>
      </c>
      <c r="P420" s="23">
        <f>IF(L420=1,IF(J420="PY",G420*M420/N420,G420),0)</f>
        <v/>
      </c>
      <c r="Q420" s="23">
        <f>IF(AND(L420=1,J420="PY"),F420*(N420-M420)/N420,0)</f>
        <v/>
      </c>
      <c r="R420" s="23">
        <f>IF(AND(L420=1,J420="PY"),G420*(N420-M420)/N420,0)</f>
        <v/>
      </c>
      <c r="S420" s="21">
        <f>IF(COUNTA(A420:G420)=0,"",IF(OR(A420="",B420="",NOT(ISNUMBER(C420))),"Fill market, product and year",IF(COUNTIF(Control!$B$11:$B$13,B420)=0,"Unknown product",IF(COUNTIFS(Dat_A,A420,Dat_B,B420,Dat_C,C420)&gt;1,"Duplicate market/product/year",IF(OR(NOT(ISNUMBER(D420)),NOT(ISNUMBER(E420))),"Add launch date and Data through date",IF(E420&lt;D420,"Data through is before launch",IF(OR(NOT(ISNUMBER(F420)),NOT(ISNUMBER(G420))),"Add units and revenue","OK")))))))</f>
        <v/>
      </c>
    </row>
    <row r="421">
      <c r="A421" s="17" t="n"/>
      <c r="B421" s="17" t="n"/>
      <c r="C421" s="17" t="n"/>
      <c r="D421" s="18" t="n"/>
      <c r="E421" s="18" t="n"/>
      <c r="F421" s="19" t="n"/>
      <c r="G421" s="20" t="n"/>
      <c r="H421" s="21">
        <f>IF(AND(ISNUMBER(D421),ISNUMBER(E421)),E421-D421+1,"")</f>
        <v/>
      </c>
      <c r="I421" s="22">
        <f>IF(AND(ISNUMBER(F421),N(F421)&gt;0,ISNUMBER(G421)),G421/F421,"")</f>
        <v/>
      </c>
      <c r="J421" s="21">
        <f>IF(OR(A421="",B421=""),"",IF(C421=Yr_Cur,"CY",IF(C421=Yr_Prev,"PY","")))</f>
        <v/>
      </c>
      <c r="K421" s="21">
        <f>IF(J421="","",IF(J421="CY",SUMIFS(Dat_H,Dat_A,A421,Dat_B,B421,Dat_C,Yr_Prev),SUMIFS(Dat_H,Dat_A,A421,Dat_B,B421,Dat_C,Yr_Cur)))</f>
        <v/>
      </c>
      <c r="L421" s="21">
        <f>IF(J421="",0,IF(AND(ISNUMBER(H421),N(K421)&gt;0,ISNUMBER(F421),ISNUMBER(G421),OR(Sel_Market="All markets",A421=Sel_Market),COUNTIFS(Control!$B$11:$B$13,B421,Control!$C$11:$C$13,"Yes")&gt;0),1,0))</f>
        <v/>
      </c>
      <c r="M421" s="21">
        <f>IF(L421=1,IF(J421="CY",H421,K421),"")</f>
        <v/>
      </c>
      <c r="N421" s="21">
        <f>IF(L421=1,IF(J421="PY",H421,K421),"")</f>
        <v/>
      </c>
      <c r="O421" s="23">
        <f>IF(L421=1,IF(J421="PY",F421*M421/N421,F421),0)</f>
        <v/>
      </c>
      <c r="P421" s="23">
        <f>IF(L421=1,IF(J421="PY",G421*M421/N421,G421),0)</f>
        <v/>
      </c>
      <c r="Q421" s="23">
        <f>IF(AND(L421=1,J421="PY"),F421*(N421-M421)/N421,0)</f>
        <v/>
      </c>
      <c r="R421" s="23">
        <f>IF(AND(L421=1,J421="PY"),G421*(N421-M421)/N421,0)</f>
        <v/>
      </c>
      <c r="S421" s="21">
        <f>IF(COUNTA(A421:G421)=0,"",IF(OR(A421="",B421="",NOT(ISNUMBER(C421))),"Fill market, product and year",IF(COUNTIF(Control!$B$11:$B$13,B421)=0,"Unknown product",IF(COUNTIFS(Dat_A,A421,Dat_B,B421,Dat_C,C421)&gt;1,"Duplicate market/product/year",IF(OR(NOT(ISNUMBER(D421)),NOT(ISNUMBER(E421))),"Add launch date and Data through date",IF(E421&lt;D421,"Data through is before launch",IF(OR(NOT(ISNUMBER(F421)),NOT(ISNUMBER(G421))),"Add units and revenue","OK")))))))</f>
        <v/>
      </c>
    </row>
    <row r="422">
      <c r="A422" s="17" t="n"/>
      <c r="B422" s="17" t="n"/>
      <c r="C422" s="17" t="n"/>
      <c r="D422" s="18" t="n"/>
      <c r="E422" s="18" t="n"/>
      <c r="F422" s="19" t="n"/>
      <c r="G422" s="20" t="n"/>
      <c r="H422" s="21">
        <f>IF(AND(ISNUMBER(D422),ISNUMBER(E422)),E422-D422+1,"")</f>
        <v/>
      </c>
      <c r="I422" s="22">
        <f>IF(AND(ISNUMBER(F422),N(F422)&gt;0,ISNUMBER(G422)),G422/F422,"")</f>
        <v/>
      </c>
      <c r="J422" s="21">
        <f>IF(OR(A422="",B422=""),"",IF(C422=Yr_Cur,"CY",IF(C422=Yr_Prev,"PY","")))</f>
        <v/>
      </c>
      <c r="K422" s="21">
        <f>IF(J422="","",IF(J422="CY",SUMIFS(Dat_H,Dat_A,A422,Dat_B,B422,Dat_C,Yr_Prev),SUMIFS(Dat_H,Dat_A,A422,Dat_B,B422,Dat_C,Yr_Cur)))</f>
        <v/>
      </c>
      <c r="L422" s="21">
        <f>IF(J422="",0,IF(AND(ISNUMBER(H422),N(K422)&gt;0,ISNUMBER(F422),ISNUMBER(G422),OR(Sel_Market="All markets",A422=Sel_Market),COUNTIFS(Control!$B$11:$B$13,B422,Control!$C$11:$C$13,"Yes")&gt;0),1,0))</f>
        <v/>
      </c>
      <c r="M422" s="21">
        <f>IF(L422=1,IF(J422="CY",H422,K422),"")</f>
        <v/>
      </c>
      <c r="N422" s="21">
        <f>IF(L422=1,IF(J422="PY",H422,K422),"")</f>
        <v/>
      </c>
      <c r="O422" s="23">
        <f>IF(L422=1,IF(J422="PY",F422*M422/N422,F422),0)</f>
        <v/>
      </c>
      <c r="P422" s="23">
        <f>IF(L422=1,IF(J422="PY",G422*M422/N422,G422),0)</f>
        <v/>
      </c>
      <c r="Q422" s="23">
        <f>IF(AND(L422=1,J422="PY"),F422*(N422-M422)/N422,0)</f>
        <v/>
      </c>
      <c r="R422" s="23">
        <f>IF(AND(L422=1,J422="PY"),G422*(N422-M422)/N422,0)</f>
        <v/>
      </c>
      <c r="S422" s="21">
        <f>IF(COUNTA(A422:G422)=0,"",IF(OR(A422="",B422="",NOT(ISNUMBER(C422))),"Fill market, product and year",IF(COUNTIF(Control!$B$11:$B$13,B422)=0,"Unknown product",IF(COUNTIFS(Dat_A,A422,Dat_B,B422,Dat_C,C422)&gt;1,"Duplicate market/product/year",IF(OR(NOT(ISNUMBER(D422)),NOT(ISNUMBER(E422))),"Add launch date and Data through date",IF(E422&lt;D422,"Data through is before launch",IF(OR(NOT(ISNUMBER(F422)),NOT(ISNUMBER(G422))),"Add units and revenue","OK")))))))</f>
        <v/>
      </c>
    </row>
    <row r="423">
      <c r="A423" s="17" t="n"/>
      <c r="B423" s="17" t="n"/>
      <c r="C423" s="17" t="n"/>
      <c r="D423" s="18" t="n"/>
      <c r="E423" s="18" t="n"/>
      <c r="F423" s="19" t="n"/>
      <c r="G423" s="20" t="n"/>
      <c r="H423" s="21">
        <f>IF(AND(ISNUMBER(D423),ISNUMBER(E423)),E423-D423+1,"")</f>
        <v/>
      </c>
      <c r="I423" s="22">
        <f>IF(AND(ISNUMBER(F423),N(F423)&gt;0,ISNUMBER(G423)),G423/F423,"")</f>
        <v/>
      </c>
      <c r="J423" s="21">
        <f>IF(OR(A423="",B423=""),"",IF(C423=Yr_Cur,"CY",IF(C423=Yr_Prev,"PY","")))</f>
        <v/>
      </c>
      <c r="K423" s="21">
        <f>IF(J423="","",IF(J423="CY",SUMIFS(Dat_H,Dat_A,A423,Dat_B,B423,Dat_C,Yr_Prev),SUMIFS(Dat_H,Dat_A,A423,Dat_B,B423,Dat_C,Yr_Cur)))</f>
        <v/>
      </c>
      <c r="L423" s="21">
        <f>IF(J423="",0,IF(AND(ISNUMBER(H423),N(K423)&gt;0,ISNUMBER(F423),ISNUMBER(G423),OR(Sel_Market="All markets",A423=Sel_Market),COUNTIFS(Control!$B$11:$B$13,B423,Control!$C$11:$C$13,"Yes")&gt;0),1,0))</f>
        <v/>
      </c>
      <c r="M423" s="21">
        <f>IF(L423=1,IF(J423="CY",H423,K423),"")</f>
        <v/>
      </c>
      <c r="N423" s="21">
        <f>IF(L423=1,IF(J423="PY",H423,K423),"")</f>
        <v/>
      </c>
      <c r="O423" s="23">
        <f>IF(L423=1,IF(J423="PY",F423*M423/N423,F423),0)</f>
        <v/>
      </c>
      <c r="P423" s="23">
        <f>IF(L423=1,IF(J423="PY",G423*M423/N423,G423),0)</f>
        <v/>
      </c>
      <c r="Q423" s="23">
        <f>IF(AND(L423=1,J423="PY"),F423*(N423-M423)/N423,0)</f>
        <v/>
      </c>
      <c r="R423" s="23">
        <f>IF(AND(L423=1,J423="PY"),G423*(N423-M423)/N423,0)</f>
        <v/>
      </c>
      <c r="S423" s="21">
        <f>IF(COUNTA(A423:G423)=0,"",IF(OR(A423="",B423="",NOT(ISNUMBER(C423))),"Fill market, product and year",IF(COUNTIF(Control!$B$11:$B$13,B423)=0,"Unknown product",IF(COUNTIFS(Dat_A,A423,Dat_B,B423,Dat_C,C423)&gt;1,"Duplicate market/product/year",IF(OR(NOT(ISNUMBER(D423)),NOT(ISNUMBER(E423))),"Add launch date and Data through date",IF(E423&lt;D423,"Data through is before launch",IF(OR(NOT(ISNUMBER(F423)),NOT(ISNUMBER(G423))),"Add units and revenue","OK")))))))</f>
        <v/>
      </c>
    </row>
    <row r="424">
      <c r="A424" s="17" t="n"/>
      <c r="B424" s="17" t="n"/>
      <c r="C424" s="17" t="n"/>
      <c r="D424" s="18" t="n"/>
      <c r="E424" s="18" t="n"/>
      <c r="F424" s="19" t="n"/>
      <c r="G424" s="20" t="n"/>
      <c r="H424" s="21">
        <f>IF(AND(ISNUMBER(D424),ISNUMBER(E424)),E424-D424+1,"")</f>
        <v/>
      </c>
      <c r="I424" s="22">
        <f>IF(AND(ISNUMBER(F424),N(F424)&gt;0,ISNUMBER(G424)),G424/F424,"")</f>
        <v/>
      </c>
      <c r="J424" s="21">
        <f>IF(OR(A424="",B424=""),"",IF(C424=Yr_Cur,"CY",IF(C424=Yr_Prev,"PY","")))</f>
        <v/>
      </c>
      <c r="K424" s="21">
        <f>IF(J424="","",IF(J424="CY",SUMIFS(Dat_H,Dat_A,A424,Dat_B,B424,Dat_C,Yr_Prev),SUMIFS(Dat_H,Dat_A,A424,Dat_B,B424,Dat_C,Yr_Cur)))</f>
        <v/>
      </c>
      <c r="L424" s="21">
        <f>IF(J424="",0,IF(AND(ISNUMBER(H424),N(K424)&gt;0,ISNUMBER(F424),ISNUMBER(G424),OR(Sel_Market="All markets",A424=Sel_Market),COUNTIFS(Control!$B$11:$B$13,B424,Control!$C$11:$C$13,"Yes")&gt;0),1,0))</f>
        <v/>
      </c>
      <c r="M424" s="21">
        <f>IF(L424=1,IF(J424="CY",H424,K424),"")</f>
        <v/>
      </c>
      <c r="N424" s="21">
        <f>IF(L424=1,IF(J424="PY",H424,K424),"")</f>
        <v/>
      </c>
      <c r="O424" s="23">
        <f>IF(L424=1,IF(J424="PY",F424*M424/N424,F424),0)</f>
        <v/>
      </c>
      <c r="P424" s="23">
        <f>IF(L424=1,IF(J424="PY",G424*M424/N424,G424),0)</f>
        <v/>
      </c>
      <c r="Q424" s="23">
        <f>IF(AND(L424=1,J424="PY"),F424*(N424-M424)/N424,0)</f>
        <v/>
      </c>
      <c r="R424" s="23">
        <f>IF(AND(L424=1,J424="PY"),G424*(N424-M424)/N424,0)</f>
        <v/>
      </c>
      <c r="S424" s="21">
        <f>IF(COUNTA(A424:G424)=0,"",IF(OR(A424="",B424="",NOT(ISNUMBER(C424))),"Fill market, product and year",IF(COUNTIF(Control!$B$11:$B$13,B424)=0,"Unknown product",IF(COUNTIFS(Dat_A,A424,Dat_B,B424,Dat_C,C424)&gt;1,"Duplicate market/product/year",IF(OR(NOT(ISNUMBER(D424)),NOT(ISNUMBER(E424))),"Add launch date and Data through date",IF(E424&lt;D424,"Data through is before launch",IF(OR(NOT(ISNUMBER(F424)),NOT(ISNUMBER(G424))),"Add units and revenue","OK")))))))</f>
        <v/>
      </c>
    </row>
    <row r="425">
      <c r="A425" s="17" t="n"/>
      <c r="B425" s="17" t="n"/>
      <c r="C425" s="17" t="n"/>
      <c r="D425" s="18" t="n"/>
      <c r="E425" s="18" t="n"/>
      <c r="F425" s="19" t="n"/>
      <c r="G425" s="20" t="n"/>
      <c r="H425" s="21">
        <f>IF(AND(ISNUMBER(D425),ISNUMBER(E425)),E425-D425+1,"")</f>
        <v/>
      </c>
      <c r="I425" s="22">
        <f>IF(AND(ISNUMBER(F425),N(F425)&gt;0,ISNUMBER(G425)),G425/F425,"")</f>
        <v/>
      </c>
      <c r="J425" s="21">
        <f>IF(OR(A425="",B425=""),"",IF(C425=Yr_Cur,"CY",IF(C425=Yr_Prev,"PY","")))</f>
        <v/>
      </c>
      <c r="K425" s="21">
        <f>IF(J425="","",IF(J425="CY",SUMIFS(Dat_H,Dat_A,A425,Dat_B,B425,Dat_C,Yr_Prev),SUMIFS(Dat_H,Dat_A,A425,Dat_B,B425,Dat_C,Yr_Cur)))</f>
        <v/>
      </c>
      <c r="L425" s="21">
        <f>IF(J425="",0,IF(AND(ISNUMBER(H425),N(K425)&gt;0,ISNUMBER(F425),ISNUMBER(G425),OR(Sel_Market="All markets",A425=Sel_Market),COUNTIFS(Control!$B$11:$B$13,B425,Control!$C$11:$C$13,"Yes")&gt;0),1,0))</f>
        <v/>
      </c>
      <c r="M425" s="21">
        <f>IF(L425=1,IF(J425="CY",H425,K425),"")</f>
        <v/>
      </c>
      <c r="N425" s="21">
        <f>IF(L425=1,IF(J425="PY",H425,K425),"")</f>
        <v/>
      </c>
      <c r="O425" s="23">
        <f>IF(L425=1,IF(J425="PY",F425*M425/N425,F425),0)</f>
        <v/>
      </c>
      <c r="P425" s="23">
        <f>IF(L425=1,IF(J425="PY",G425*M425/N425,G425),0)</f>
        <v/>
      </c>
      <c r="Q425" s="23">
        <f>IF(AND(L425=1,J425="PY"),F425*(N425-M425)/N425,0)</f>
        <v/>
      </c>
      <c r="R425" s="23">
        <f>IF(AND(L425=1,J425="PY"),G425*(N425-M425)/N425,0)</f>
        <v/>
      </c>
      <c r="S425" s="21">
        <f>IF(COUNTA(A425:G425)=0,"",IF(OR(A425="",B425="",NOT(ISNUMBER(C425))),"Fill market, product and year",IF(COUNTIF(Control!$B$11:$B$13,B425)=0,"Unknown product",IF(COUNTIFS(Dat_A,A425,Dat_B,B425,Dat_C,C425)&gt;1,"Duplicate market/product/year",IF(OR(NOT(ISNUMBER(D425)),NOT(ISNUMBER(E425))),"Add launch date and Data through date",IF(E425&lt;D425,"Data through is before launch",IF(OR(NOT(ISNUMBER(F425)),NOT(ISNUMBER(G425))),"Add units and revenue","OK")))))))</f>
        <v/>
      </c>
    </row>
    <row r="426">
      <c r="A426" s="17" t="n"/>
      <c r="B426" s="17" t="n"/>
      <c r="C426" s="17" t="n"/>
      <c r="D426" s="18" t="n"/>
      <c r="E426" s="18" t="n"/>
      <c r="F426" s="19" t="n"/>
      <c r="G426" s="20" t="n"/>
      <c r="H426" s="21">
        <f>IF(AND(ISNUMBER(D426),ISNUMBER(E426)),E426-D426+1,"")</f>
        <v/>
      </c>
      <c r="I426" s="22">
        <f>IF(AND(ISNUMBER(F426),N(F426)&gt;0,ISNUMBER(G426)),G426/F426,"")</f>
        <v/>
      </c>
      <c r="J426" s="21">
        <f>IF(OR(A426="",B426=""),"",IF(C426=Yr_Cur,"CY",IF(C426=Yr_Prev,"PY","")))</f>
        <v/>
      </c>
      <c r="K426" s="21">
        <f>IF(J426="","",IF(J426="CY",SUMIFS(Dat_H,Dat_A,A426,Dat_B,B426,Dat_C,Yr_Prev),SUMIFS(Dat_H,Dat_A,A426,Dat_B,B426,Dat_C,Yr_Cur)))</f>
        <v/>
      </c>
      <c r="L426" s="21">
        <f>IF(J426="",0,IF(AND(ISNUMBER(H426),N(K426)&gt;0,ISNUMBER(F426),ISNUMBER(G426),OR(Sel_Market="All markets",A426=Sel_Market),COUNTIFS(Control!$B$11:$B$13,B426,Control!$C$11:$C$13,"Yes")&gt;0),1,0))</f>
        <v/>
      </c>
      <c r="M426" s="21">
        <f>IF(L426=1,IF(J426="CY",H426,K426),"")</f>
        <v/>
      </c>
      <c r="N426" s="21">
        <f>IF(L426=1,IF(J426="PY",H426,K426),"")</f>
        <v/>
      </c>
      <c r="O426" s="23">
        <f>IF(L426=1,IF(J426="PY",F426*M426/N426,F426),0)</f>
        <v/>
      </c>
      <c r="P426" s="23">
        <f>IF(L426=1,IF(J426="PY",G426*M426/N426,G426),0)</f>
        <v/>
      </c>
      <c r="Q426" s="23">
        <f>IF(AND(L426=1,J426="PY"),F426*(N426-M426)/N426,0)</f>
        <v/>
      </c>
      <c r="R426" s="23">
        <f>IF(AND(L426=1,J426="PY"),G426*(N426-M426)/N426,0)</f>
        <v/>
      </c>
      <c r="S426" s="21">
        <f>IF(COUNTA(A426:G426)=0,"",IF(OR(A426="",B426="",NOT(ISNUMBER(C426))),"Fill market, product and year",IF(COUNTIF(Control!$B$11:$B$13,B426)=0,"Unknown product",IF(COUNTIFS(Dat_A,A426,Dat_B,B426,Dat_C,C426)&gt;1,"Duplicate market/product/year",IF(OR(NOT(ISNUMBER(D426)),NOT(ISNUMBER(E426))),"Add launch date and Data through date",IF(E426&lt;D426,"Data through is before launch",IF(OR(NOT(ISNUMBER(F426)),NOT(ISNUMBER(G426))),"Add units and revenue","OK")))))))</f>
        <v/>
      </c>
    </row>
    <row r="427">
      <c r="A427" s="17" t="n"/>
      <c r="B427" s="17" t="n"/>
      <c r="C427" s="17" t="n"/>
      <c r="D427" s="18" t="n"/>
      <c r="E427" s="18" t="n"/>
      <c r="F427" s="19" t="n"/>
      <c r="G427" s="20" t="n"/>
      <c r="H427" s="21">
        <f>IF(AND(ISNUMBER(D427),ISNUMBER(E427)),E427-D427+1,"")</f>
        <v/>
      </c>
      <c r="I427" s="22">
        <f>IF(AND(ISNUMBER(F427),N(F427)&gt;0,ISNUMBER(G427)),G427/F427,"")</f>
        <v/>
      </c>
      <c r="J427" s="21">
        <f>IF(OR(A427="",B427=""),"",IF(C427=Yr_Cur,"CY",IF(C427=Yr_Prev,"PY","")))</f>
        <v/>
      </c>
      <c r="K427" s="21">
        <f>IF(J427="","",IF(J427="CY",SUMIFS(Dat_H,Dat_A,A427,Dat_B,B427,Dat_C,Yr_Prev),SUMIFS(Dat_H,Dat_A,A427,Dat_B,B427,Dat_C,Yr_Cur)))</f>
        <v/>
      </c>
      <c r="L427" s="21">
        <f>IF(J427="",0,IF(AND(ISNUMBER(H427),N(K427)&gt;0,ISNUMBER(F427),ISNUMBER(G427),OR(Sel_Market="All markets",A427=Sel_Market),COUNTIFS(Control!$B$11:$B$13,B427,Control!$C$11:$C$13,"Yes")&gt;0),1,0))</f>
        <v/>
      </c>
      <c r="M427" s="21">
        <f>IF(L427=1,IF(J427="CY",H427,K427),"")</f>
        <v/>
      </c>
      <c r="N427" s="21">
        <f>IF(L427=1,IF(J427="PY",H427,K427),"")</f>
        <v/>
      </c>
      <c r="O427" s="23">
        <f>IF(L427=1,IF(J427="PY",F427*M427/N427,F427),0)</f>
        <v/>
      </c>
      <c r="P427" s="23">
        <f>IF(L427=1,IF(J427="PY",G427*M427/N427,G427),0)</f>
        <v/>
      </c>
      <c r="Q427" s="23">
        <f>IF(AND(L427=1,J427="PY"),F427*(N427-M427)/N427,0)</f>
        <v/>
      </c>
      <c r="R427" s="23">
        <f>IF(AND(L427=1,J427="PY"),G427*(N427-M427)/N427,0)</f>
        <v/>
      </c>
      <c r="S427" s="21">
        <f>IF(COUNTA(A427:G427)=0,"",IF(OR(A427="",B427="",NOT(ISNUMBER(C427))),"Fill market, product and year",IF(COUNTIF(Control!$B$11:$B$13,B427)=0,"Unknown product",IF(COUNTIFS(Dat_A,A427,Dat_B,B427,Dat_C,C427)&gt;1,"Duplicate market/product/year",IF(OR(NOT(ISNUMBER(D427)),NOT(ISNUMBER(E427))),"Add launch date and Data through date",IF(E427&lt;D427,"Data through is before launch",IF(OR(NOT(ISNUMBER(F427)),NOT(ISNUMBER(G427))),"Add units and revenue","OK")))))))</f>
        <v/>
      </c>
    </row>
    <row r="428">
      <c r="A428" s="17" t="n"/>
      <c r="B428" s="17" t="n"/>
      <c r="C428" s="17" t="n"/>
      <c r="D428" s="18" t="n"/>
      <c r="E428" s="18" t="n"/>
      <c r="F428" s="19" t="n"/>
      <c r="G428" s="20" t="n"/>
      <c r="H428" s="21">
        <f>IF(AND(ISNUMBER(D428),ISNUMBER(E428)),E428-D428+1,"")</f>
        <v/>
      </c>
      <c r="I428" s="22">
        <f>IF(AND(ISNUMBER(F428),N(F428)&gt;0,ISNUMBER(G428)),G428/F428,"")</f>
        <v/>
      </c>
      <c r="J428" s="21">
        <f>IF(OR(A428="",B428=""),"",IF(C428=Yr_Cur,"CY",IF(C428=Yr_Prev,"PY","")))</f>
        <v/>
      </c>
      <c r="K428" s="21">
        <f>IF(J428="","",IF(J428="CY",SUMIFS(Dat_H,Dat_A,A428,Dat_B,B428,Dat_C,Yr_Prev),SUMIFS(Dat_H,Dat_A,A428,Dat_B,B428,Dat_C,Yr_Cur)))</f>
        <v/>
      </c>
      <c r="L428" s="21">
        <f>IF(J428="",0,IF(AND(ISNUMBER(H428),N(K428)&gt;0,ISNUMBER(F428),ISNUMBER(G428),OR(Sel_Market="All markets",A428=Sel_Market),COUNTIFS(Control!$B$11:$B$13,B428,Control!$C$11:$C$13,"Yes")&gt;0),1,0))</f>
        <v/>
      </c>
      <c r="M428" s="21">
        <f>IF(L428=1,IF(J428="CY",H428,K428),"")</f>
        <v/>
      </c>
      <c r="N428" s="21">
        <f>IF(L428=1,IF(J428="PY",H428,K428),"")</f>
        <v/>
      </c>
      <c r="O428" s="23">
        <f>IF(L428=1,IF(J428="PY",F428*M428/N428,F428),0)</f>
        <v/>
      </c>
      <c r="P428" s="23">
        <f>IF(L428=1,IF(J428="PY",G428*M428/N428,G428),0)</f>
        <v/>
      </c>
      <c r="Q428" s="23">
        <f>IF(AND(L428=1,J428="PY"),F428*(N428-M428)/N428,0)</f>
        <v/>
      </c>
      <c r="R428" s="23">
        <f>IF(AND(L428=1,J428="PY"),G428*(N428-M428)/N428,0)</f>
        <v/>
      </c>
      <c r="S428" s="21">
        <f>IF(COUNTA(A428:G428)=0,"",IF(OR(A428="",B428="",NOT(ISNUMBER(C428))),"Fill market, product and year",IF(COUNTIF(Control!$B$11:$B$13,B428)=0,"Unknown product",IF(COUNTIFS(Dat_A,A428,Dat_B,B428,Dat_C,C428)&gt;1,"Duplicate market/product/year",IF(OR(NOT(ISNUMBER(D428)),NOT(ISNUMBER(E428))),"Add launch date and Data through date",IF(E428&lt;D428,"Data through is before launch",IF(OR(NOT(ISNUMBER(F428)),NOT(ISNUMBER(G428))),"Add units and revenue","OK")))))))</f>
        <v/>
      </c>
    </row>
    <row r="429">
      <c r="A429" s="17" t="n"/>
      <c r="B429" s="17" t="n"/>
      <c r="C429" s="17" t="n"/>
      <c r="D429" s="18" t="n"/>
      <c r="E429" s="18" t="n"/>
      <c r="F429" s="19" t="n"/>
      <c r="G429" s="20" t="n"/>
      <c r="H429" s="21">
        <f>IF(AND(ISNUMBER(D429),ISNUMBER(E429)),E429-D429+1,"")</f>
        <v/>
      </c>
      <c r="I429" s="22">
        <f>IF(AND(ISNUMBER(F429),N(F429)&gt;0,ISNUMBER(G429)),G429/F429,"")</f>
        <v/>
      </c>
      <c r="J429" s="21">
        <f>IF(OR(A429="",B429=""),"",IF(C429=Yr_Cur,"CY",IF(C429=Yr_Prev,"PY","")))</f>
        <v/>
      </c>
      <c r="K429" s="21">
        <f>IF(J429="","",IF(J429="CY",SUMIFS(Dat_H,Dat_A,A429,Dat_B,B429,Dat_C,Yr_Prev),SUMIFS(Dat_H,Dat_A,A429,Dat_B,B429,Dat_C,Yr_Cur)))</f>
        <v/>
      </c>
      <c r="L429" s="21">
        <f>IF(J429="",0,IF(AND(ISNUMBER(H429),N(K429)&gt;0,ISNUMBER(F429),ISNUMBER(G429),OR(Sel_Market="All markets",A429=Sel_Market),COUNTIFS(Control!$B$11:$B$13,B429,Control!$C$11:$C$13,"Yes")&gt;0),1,0))</f>
        <v/>
      </c>
      <c r="M429" s="21">
        <f>IF(L429=1,IF(J429="CY",H429,K429),"")</f>
        <v/>
      </c>
      <c r="N429" s="21">
        <f>IF(L429=1,IF(J429="PY",H429,K429),"")</f>
        <v/>
      </c>
      <c r="O429" s="23">
        <f>IF(L429=1,IF(J429="PY",F429*M429/N429,F429),0)</f>
        <v/>
      </c>
      <c r="P429" s="23">
        <f>IF(L429=1,IF(J429="PY",G429*M429/N429,G429),0)</f>
        <v/>
      </c>
      <c r="Q429" s="23">
        <f>IF(AND(L429=1,J429="PY"),F429*(N429-M429)/N429,0)</f>
        <v/>
      </c>
      <c r="R429" s="23">
        <f>IF(AND(L429=1,J429="PY"),G429*(N429-M429)/N429,0)</f>
        <v/>
      </c>
      <c r="S429" s="21">
        <f>IF(COUNTA(A429:G429)=0,"",IF(OR(A429="",B429="",NOT(ISNUMBER(C429))),"Fill market, product and year",IF(COUNTIF(Control!$B$11:$B$13,B429)=0,"Unknown product",IF(COUNTIFS(Dat_A,A429,Dat_B,B429,Dat_C,C429)&gt;1,"Duplicate market/product/year",IF(OR(NOT(ISNUMBER(D429)),NOT(ISNUMBER(E429))),"Add launch date and Data through date",IF(E429&lt;D429,"Data through is before launch",IF(OR(NOT(ISNUMBER(F429)),NOT(ISNUMBER(G429))),"Add units and revenue","OK")))))))</f>
        <v/>
      </c>
    </row>
    <row r="430">
      <c r="A430" s="17" t="n"/>
      <c r="B430" s="17" t="n"/>
      <c r="C430" s="17" t="n"/>
      <c r="D430" s="18" t="n"/>
      <c r="E430" s="18" t="n"/>
      <c r="F430" s="19" t="n"/>
      <c r="G430" s="20" t="n"/>
      <c r="H430" s="21">
        <f>IF(AND(ISNUMBER(D430),ISNUMBER(E430)),E430-D430+1,"")</f>
        <v/>
      </c>
      <c r="I430" s="22">
        <f>IF(AND(ISNUMBER(F430),N(F430)&gt;0,ISNUMBER(G430)),G430/F430,"")</f>
        <v/>
      </c>
      <c r="J430" s="21">
        <f>IF(OR(A430="",B430=""),"",IF(C430=Yr_Cur,"CY",IF(C430=Yr_Prev,"PY","")))</f>
        <v/>
      </c>
      <c r="K430" s="21">
        <f>IF(J430="","",IF(J430="CY",SUMIFS(Dat_H,Dat_A,A430,Dat_B,B430,Dat_C,Yr_Prev),SUMIFS(Dat_H,Dat_A,A430,Dat_B,B430,Dat_C,Yr_Cur)))</f>
        <v/>
      </c>
      <c r="L430" s="21">
        <f>IF(J430="",0,IF(AND(ISNUMBER(H430),N(K430)&gt;0,ISNUMBER(F430),ISNUMBER(G430),OR(Sel_Market="All markets",A430=Sel_Market),COUNTIFS(Control!$B$11:$B$13,B430,Control!$C$11:$C$13,"Yes")&gt;0),1,0))</f>
        <v/>
      </c>
      <c r="M430" s="21">
        <f>IF(L430=1,IF(J430="CY",H430,K430),"")</f>
        <v/>
      </c>
      <c r="N430" s="21">
        <f>IF(L430=1,IF(J430="PY",H430,K430),"")</f>
        <v/>
      </c>
      <c r="O430" s="23">
        <f>IF(L430=1,IF(J430="PY",F430*M430/N430,F430),0)</f>
        <v/>
      </c>
      <c r="P430" s="23">
        <f>IF(L430=1,IF(J430="PY",G430*M430/N430,G430),0)</f>
        <v/>
      </c>
      <c r="Q430" s="23">
        <f>IF(AND(L430=1,J430="PY"),F430*(N430-M430)/N430,0)</f>
        <v/>
      </c>
      <c r="R430" s="23">
        <f>IF(AND(L430=1,J430="PY"),G430*(N430-M430)/N430,0)</f>
        <v/>
      </c>
      <c r="S430" s="21">
        <f>IF(COUNTA(A430:G430)=0,"",IF(OR(A430="",B430="",NOT(ISNUMBER(C430))),"Fill market, product and year",IF(COUNTIF(Control!$B$11:$B$13,B430)=0,"Unknown product",IF(COUNTIFS(Dat_A,A430,Dat_B,B430,Dat_C,C430)&gt;1,"Duplicate market/product/year",IF(OR(NOT(ISNUMBER(D430)),NOT(ISNUMBER(E430))),"Add launch date and Data through date",IF(E430&lt;D430,"Data through is before launch",IF(OR(NOT(ISNUMBER(F430)),NOT(ISNUMBER(G430))),"Add units and revenue","OK")))))))</f>
        <v/>
      </c>
    </row>
    <row r="431">
      <c r="A431" s="17" t="n"/>
      <c r="B431" s="17" t="n"/>
      <c r="C431" s="17" t="n"/>
      <c r="D431" s="18" t="n"/>
      <c r="E431" s="18" t="n"/>
      <c r="F431" s="19" t="n"/>
      <c r="G431" s="20" t="n"/>
      <c r="H431" s="21">
        <f>IF(AND(ISNUMBER(D431),ISNUMBER(E431)),E431-D431+1,"")</f>
        <v/>
      </c>
      <c r="I431" s="22">
        <f>IF(AND(ISNUMBER(F431),N(F431)&gt;0,ISNUMBER(G431)),G431/F431,"")</f>
        <v/>
      </c>
      <c r="J431" s="21">
        <f>IF(OR(A431="",B431=""),"",IF(C431=Yr_Cur,"CY",IF(C431=Yr_Prev,"PY","")))</f>
        <v/>
      </c>
      <c r="K431" s="21">
        <f>IF(J431="","",IF(J431="CY",SUMIFS(Dat_H,Dat_A,A431,Dat_B,B431,Dat_C,Yr_Prev),SUMIFS(Dat_H,Dat_A,A431,Dat_B,B431,Dat_C,Yr_Cur)))</f>
        <v/>
      </c>
      <c r="L431" s="21">
        <f>IF(J431="",0,IF(AND(ISNUMBER(H431),N(K431)&gt;0,ISNUMBER(F431),ISNUMBER(G431),OR(Sel_Market="All markets",A431=Sel_Market),COUNTIFS(Control!$B$11:$B$13,B431,Control!$C$11:$C$13,"Yes")&gt;0),1,0))</f>
        <v/>
      </c>
      <c r="M431" s="21">
        <f>IF(L431=1,IF(J431="CY",H431,K431),"")</f>
        <v/>
      </c>
      <c r="N431" s="21">
        <f>IF(L431=1,IF(J431="PY",H431,K431),"")</f>
        <v/>
      </c>
      <c r="O431" s="23">
        <f>IF(L431=1,IF(J431="PY",F431*M431/N431,F431),0)</f>
        <v/>
      </c>
      <c r="P431" s="23">
        <f>IF(L431=1,IF(J431="PY",G431*M431/N431,G431),0)</f>
        <v/>
      </c>
      <c r="Q431" s="23">
        <f>IF(AND(L431=1,J431="PY"),F431*(N431-M431)/N431,0)</f>
        <v/>
      </c>
      <c r="R431" s="23">
        <f>IF(AND(L431=1,J431="PY"),G431*(N431-M431)/N431,0)</f>
        <v/>
      </c>
      <c r="S431" s="21">
        <f>IF(COUNTA(A431:G431)=0,"",IF(OR(A431="",B431="",NOT(ISNUMBER(C431))),"Fill market, product and year",IF(COUNTIF(Control!$B$11:$B$13,B431)=0,"Unknown product",IF(COUNTIFS(Dat_A,A431,Dat_B,B431,Dat_C,C431)&gt;1,"Duplicate market/product/year",IF(OR(NOT(ISNUMBER(D431)),NOT(ISNUMBER(E431))),"Add launch date and Data through date",IF(E431&lt;D431,"Data through is before launch",IF(OR(NOT(ISNUMBER(F431)),NOT(ISNUMBER(G431))),"Add units and revenue","OK")))))))</f>
        <v/>
      </c>
    </row>
    <row r="432">
      <c r="A432" s="17" t="n"/>
      <c r="B432" s="17" t="n"/>
      <c r="C432" s="17" t="n"/>
      <c r="D432" s="18" t="n"/>
      <c r="E432" s="18" t="n"/>
      <c r="F432" s="19" t="n"/>
      <c r="G432" s="20" t="n"/>
      <c r="H432" s="21">
        <f>IF(AND(ISNUMBER(D432),ISNUMBER(E432)),E432-D432+1,"")</f>
        <v/>
      </c>
      <c r="I432" s="22">
        <f>IF(AND(ISNUMBER(F432),N(F432)&gt;0,ISNUMBER(G432)),G432/F432,"")</f>
        <v/>
      </c>
      <c r="J432" s="21">
        <f>IF(OR(A432="",B432=""),"",IF(C432=Yr_Cur,"CY",IF(C432=Yr_Prev,"PY","")))</f>
        <v/>
      </c>
      <c r="K432" s="21">
        <f>IF(J432="","",IF(J432="CY",SUMIFS(Dat_H,Dat_A,A432,Dat_B,B432,Dat_C,Yr_Prev),SUMIFS(Dat_H,Dat_A,A432,Dat_B,B432,Dat_C,Yr_Cur)))</f>
        <v/>
      </c>
      <c r="L432" s="21">
        <f>IF(J432="",0,IF(AND(ISNUMBER(H432),N(K432)&gt;0,ISNUMBER(F432),ISNUMBER(G432),OR(Sel_Market="All markets",A432=Sel_Market),COUNTIFS(Control!$B$11:$B$13,B432,Control!$C$11:$C$13,"Yes")&gt;0),1,0))</f>
        <v/>
      </c>
      <c r="M432" s="21">
        <f>IF(L432=1,IF(J432="CY",H432,K432),"")</f>
        <v/>
      </c>
      <c r="N432" s="21">
        <f>IF(L432=1,IF(J432="PY",H432,K432),"")</f>
        <v/>
      </c>
      <c r="O432" s="23">
        <f>IF(L432=1,IF(J432="PY",F432*M432/N432,F432),0)</f>
        <v/>
      </c>
      <c r="P432" s="23">
        <f>IF(L432=1,IF(J432="PY",G432*M432/N432,G432),0)</f>
        <v/>
      </c>
      <c r="Q432" s="23">
        <f>IF(AND(L432=1,J432="PY"),F432*(N432-M432)/N432,0)</f>
        <v/>
      </c>
      <c r="R432" s="23">
        <f>IF(AND(L432=1,J432="PY"),G432*(N432-M432)/N432,0)</f>
        <v/>
      </c>
      <c r="S432" s="21">
        <f>IF(COUNTA(A432:G432)=0,"",IF(OR(A432="",B432="",NOT(ISNUMBER(C432))),"Fill market, product and year",IF(COUNTIF(Control!$B$11:$B$13,B432)=0,"Unknown product",IF(COUNTIFS(Dat_A,A432,Dat_B,B432,Dat_C,C432)&gt;1,"Duplicate market/product/year",IF(OR(NOT(ISNUMBER(D432)),NOT(ISNUMBER(E432))),"Add launch date and Data through date",IF(E432&lt;D432,"Data through is before launch",IF(OR(NOT(ISNUMBER(F432)),NOT(ISNUMBER(G432))),"Add units and revenue","OK")))))))</f>
        <v/>
      </c>
    </row>
    <row r="433">
      <c r="A433" s="17" t="n"/>
      <c r="B433" s="17" t="n"/>
      <c r="C433" s="17" t="n"/>
      <c r="D433" s="18" t="n"/>
      <c r="E433" s="18" t="n"/>
      <c r="F433" s="19" t="n"/>
      <c r="G433" s="20" t="n"/>
      <c r="H433" s="21">
        <f>IF(AND(ISNUMBER(D433),ISNUMBER(E433)),E433-D433+1,"")</f>
        <v/>
      </c>
      <c r="I433" s="22">
        <f>IF(AND(ISNUMBER(F433),N(F433)&gt;0,ISNUMBER(G433)),G433/F433,"")</f>
        <v/>
      </c>
      <c r="J433" s="21">
        <f>IF(OR(A433="",B433=""),"",IF(C433=Yr_Cur,"CY",IF(C433=Yr_Prev,"PY","")))</f>
        <v/>
      </c>
      <c r="K433" s="21">
        <f>IF(J433="","",IF(J433="CY",SUMIFS(Dat_H,Dat_A,A433,Dat_B,B433,Dat_C,Yr_Prev),SUMIFS(Dat_H,Dat_A,A433,Dat_B,B433,Dat_C,Yr_Cur)))</f>
        <v/>
      </c>
      <c r="L433" s="21">
        <f>IF(J433="",0,IF(AND(ISNUMBER(H433),N(K433)&gt;0,ISNUMBER(F433),ISNUMBER(G433),OR(Sel_Market="All markets",A433=Sel_Market),COUNTIFS(Control!$B$11:$B$13,B433,Control!$C$11:$C$13,"Yes")&gt;0),1,0))</f>
        <v/>
      </c>
      <c r="M433" s="21">
        <f>IF(L433=1,IF(J433="CY",H433,K433),"")</f>
        <v/>
      </c>
      <c r="N433" s="21">
        <f>IF(L433=1,IF(J433="PY",H433,K433),"")</f>
        <v/>
      </c>
      <c r="O433" s="23">
        <f>IF(L433=1,IF(J433="PY",F433*M433/N433,F433),0)</f>
        <v/>
      </c>
      <c r="P433" s="23">
        <f>IF(L433=1,IF(J433="PY",G433*M433/N433,G433),0)</f>
        <v/>
      </c>
      <c r="Q433" s="23">
        <f>IF(AND(L433=1,J433="PY"),F433*(N433-M433)/N433,0)</f>
        <v/>
      </c>
      <c r="R433" s="23">
        <f>IF(AND(L433=1,J433="PY"),G433*(N433-M433)/N433,0)</f>
        <v/>
      </c>
      <c r="S433" s="21">
        <f>IF(COUNTA(A433:G433)=0,"",IF(OR(A433="",B433="",NOT(ISNUMBER(C433))),"Fill market, product and year",IF(COUNTIF(Control!$B$11:$B$13,B433)=0,"Unknown product",IF(COUNTIFS(Dat_A,A433,Dat_B,B433,Dat_C,C433)&gt;1,"Duplicate market/product/year",IF(OR(NOT(ISNUMBER(D433)),NOT(ISNUMBER(E433))),"Add launch date and Data through date",IF(E433&lt;D433,"Data through is before launch",IF(OR(NOT(ISNUMBER(F433)),NOT(ISNUMBER(G433))),"Add units and revenue","OK")))))))</f>
        <v/>
      </c>
    </row>
    <row r="434">
      <c r="A434" s="17" t="n"/>
      <c r="B434" s="17" t="n"/>
      <c r="C434" s="17" t="n"/>
      <c r="D434" s="18" t="n"/>
      <c r="E434" s="18" t="n"/>
      <c r="F434" s="19" t="n"/>
      <c r="G434" s="20" t="n"/>
      <c r="H434" s="21">
        <f>IF(AND(ISNUMBER(D434),ISNUMBER(E434)),E434-D434+1,"")</f>
        <v/>
      </c>
      <c r="I434" s="22">
        <f>IF(AND(ISNUMBER(F434),N(F434)&gt;0,ISNUMBER(G434)),G434/F434,"")</f>
        <v/>
      </c>
      <c r="J434" s="21">
        <f>IF(OR(A434="",B434=""),"",IF(C434=Yr_Cur,"CY",IF(C434=Yr_Prev,"PY","")))</f>
        <v/>
      </c>
      <c r="K434" s="21">
        <f>IF(J434="","",IF(J434="CY",SUMIFS(Dat_H,Dat_A,A434,Dat_B,B434,Dat_C,Yr_Prev),SUMIFS(Dat_H,Dat_A,A434,Dat_B,B434,Dat_C,Yr_Cur)))</f>
        <v/>
      </c>
      <c r="L434" s="21">
        <f>IF(J434="",0,IF(AND(ISNUMBER(H434),N(K434)&gt;0,ISNUMBER(F434),ISNUMBER(G434),OR(Sel_Market="All markets",A434=Sel_Market),COUNTIFS(Control!$B$11:$B$13,B434,Control!$C$11:$C$13,"Yes")&gt;0),1,0))</f>
        <v/>
      </c>
      <c r="M434" s="21">
        <f>IF(L434=1,IF(J434="CY",H434,K434),"")</f>
        <v/>
      </c>
      <c r="N434" s="21">
        <f>IF(L434=1,IF(J434="PY",H434,K434),"")</f>
        <v/>
      </c>
      <c r="O434" s="23">
        <f>IF(L434=1,IF(J434="PY",F434*M434/N434,F434),0)</f>
        <v/>
      </c>
      <c r="P434" s="23">
        <f>IF(L434=1,IF(J434="PY",G434*M434/N434,G434),0)</f>
        <v/>
      </c>
      <c r="Q434" s="23">
        <f>IF(AND(L434=1,J434="PY"),F434*(N434-M434)/N434,0)</f>
        <v/>
      </c>
      <c r="R434" s="23">
        <f>IF(AND(L434=1,J434="PY"),G434*(N434-M434)/N434,0)</f>
        <v/>
      </c>
      <c r="S434" s="21">
        <f>IF(COUNTA(A434:G434)=0,"",IF(OR(A434="",B434="",NOT(ISNUMBER(C434))),"Fill market, product and year",IF(COUNTIF(Control!$B$11:$B$13,B434)=0,"Unknown product",IF(COUNTIFS(Dat_A,A434,Dat_B,B434,Dat_C,C434)&gt;1,"Duplicate market/product/year",IF(OR(NOT(ISNUMBER(D434)),NOT(ISNUMBER(E434))),"Add launch date and Data through date",IF(E434&lt;D434,"Data through is before launch",IF(OR(NOT(ISNUMBER(F434)),NOT(ISNUMBER(G434))),"Add units and revenue","OK")))))))</f>
        <v/>
      </c>
    </row>
    <row r="435">
      <c r="A435" s="17" t="n"/>
      <c r="B435" s="17" t="n"/>
      <c r="C435" s="17" t="n"/>
      <c r="D435" s="18" t="n"/>
      <c r="E435" s="18" t="n"/>
      <c r="F435" s="19" t="n"/>
      <c r="G435" s="20" t="n"/>
      <c r="H435" s="21">
        <f>IF(AND(ISNUMBER(D435),ISNUMBER(E435)),E435-D435+1,"")</f>
        <v/>
      </c>
      <c r="I435" s="22">
        <f>IF(AND(ISNUMBER(F435),N(F435)&gt;0,ISNUMBER(G435)),G435/F435,"")</f>
        <v/>
      </c>
      <c r="J435" s="21">
        <f>IF(OR(A435="",B435=""),"",IF(C435=Yr_Cur,"CY",IF(C435=Yr_Prev,"PY","")))</f>
        <v/>
      </c>
      <c r="K435" s="21">
        <f>IF(J435="","",IF(J435="CY",SUMIFS(Dat_H,Dat_A,A435,Dat_B,B435,Dat_C,Yr_Prev),SUMIFS(Dat_H,Dat_A,A435,Dat_B,B435,Dat_C,Yr_Cur)))</f>
        <v/>
      </c>
      <c r="L435" s="21">
        <f>IF(J435="",0,IF(AND(ISNUMBER(H435),N(K435)&gt;0,ISNUMBER(F435),ISNUMBER(G435),OR(Sel_Market="All markets",A435=Sel_Market),COUNTIFS(Control!$B$11:$B$13,B435,Control!$C$11:$C$13,"Yes")&gt;0),1,0))</f>
        <v/>
      </c>
      <c r="M435" s="21">
        <f>IF(L435=1,IF(J435="CY",H435,K435),"")</f>
        <v/>
      </c>
      <c r="N435" s="21">
        <f>IF(L435=1,IF(J435="PY",H435,K435),"")</f>
        <v/>
      </c>
      <c r="O435" s="23">
        <f>IF(L435=1,IF(J435="PY",F435*M435/N435,F435),0)</f>
        <v/>
      </c>
      <c r="P435" s="23">
        <f>IF(L435=1,IF(J435="PY",G435*M435/N435,G435),0)</f>
        <v/>
      </c>
      <c r="Q435" s="23">
        <f>IF(AND(L435=1,J435="PY"),F435*(N435-M435)/N435,0)</f>
        <v/>
      </c>
      <c r="R435" s="23">
        <f>IF(AND(L435=1,J435="PY"),G435*(N435-M435)/N435,0)</f>
        <v/>
      </c>
      <c r="S435" s="21">
        <f>IF(COUNTA(A435:G435)=0,"",IF(OR(A435="",B435="",NOT(ISNUMBER(C435))),"Fill market, product and year",IF(COUNTIF(Control!$B$11:$B$13,B435)=0,"Unknown product",IF(COUNTIFS(Dat_A,A435,Dat_B,B435,Dat_C,C435)&gt;1,"Duplicate market/product/year",IF(OR(NOT(ISNUMBER(D435)),NOT(ISNUMBER(E435))),"Add launch date and Data through date",IF(E435&lt;D435,"Data through is before launch",IF(OR(NOT(ISNUMBER(F435)),NOT(ISNUMBER(G435))),"Add units and revenue","OK")))))))</f>
        <v/>
      </c>
    </row>
    <row r="436">
      <c r="A436" s="17" t="n"/>
      <c r="B436" s="17" t="n"/>
      <c r="C436" s="17" t="n"/>
      <c r="D436" s="18" t="n"/>
      <c r="E436" s="18" t="n"/>
      <c r="F436" s="19" t="n"/>
      <c r="G436" s="20" t="n"/>
      <c r="H436" s="21">
        <f>IF(AND(ISNUMBER(D436),ISNUMBER(E436)),E436-D436+1,"")</f>
        <v/>
      </c>
      <c r="I436" s="22">
        <f>IF(AND(ISNUMBER(F436),N(F436)&gt;0,ISNUMBER(G436)),G436/F436,"")</f>
        <v/>
      </c>
      <c r="J436" s="21">
        <f>IF(OR(A436="",B436=""),"",IF(C436=Yr_Cur,"CY",IF(C436=Yr_Prev,"PY","")))</f>
        <v/>
      </c>
      <c r="K436" s="21">
        <f>IF(J436="","",IF(J436="CY",SUMIFS(Dat_H,Dat_A,A436,Dat_B,B436,Dat_C,Yr_Prev),SUMIFS(Dat_H,Dat_A,A436,Dat_B,B436,Dat_C,Yr_Cur)))</f>
        <v/>
      </c>
      <c r="L436" s="21">
        <f>IF(J436="",0,IF(AND(ISNUMBER(H436),N(K436)&gt;0,ISNUMBER(F436),ISNUMBER(G436),OR(Sel_Market="All markets",A436=Sel_Market),COUNTIFS(Control!$B$11:$B$13,B436,Control!$C$11:$C$13,"Yes")&gt;0),1,0))</f>
        <v/>
      </c>
      <c r="M436" s="21">
        <f>IF(L436=1,IF(J436="CY",H436,K436),"")</f>
        <v/>
      </c>
      <c r="N436" s="21">
        <f>IF(L436=1,IF(J436="PY",H436,K436),"")</f>
        <v/>
      </c>
      <c r="O436" s="23">
        <f>IF(L436=1,IF(J436="PY",F436*M436/N436,F436),0)</f>
        <v/>
      </c>
      <c r="P436" s="23">
        <f>IF(L436=1,IF(J436="PY",G436*M436/N436,G436),0)</f>
        <v/>
      </c>
      <c r="Q436" s="23">
        <f>IF(AND(L436=1,J436="PY"),F436*(N436-M436)/N436,0)</f>
        <v/>
      </c>
      <c r="R436" s="23">
        <f>IF(AND(L436=1,J436="PY"),G436*(N436-M436)/N436,0)</f>
        <v/>
      </c>
      <c r="S436" s="21">
        <f>IF(COUNTA(A436:G436)=0,"",IF(OR(A436="",B436="",NOT(ISNUMBER(C436))),"Fill market, product and year",IF(COUNTIF(Control!$B$11:$B$13,B436)=0,"Unknown product",IF(COUNTIFS(Dat_A,A436,Dat_B,B436,Dat_C,C436)&gt;1,"Duplicate market/product/year",IF(OR(NOT(ISNUMBER(D436)),NOT(ISNUMBER(E436))),"Add launch date and Data through date",IF(E436&lt;D436,"Data through is before launch",IF(OR(NOT(ISNUMBER(F436)),NOT(ISNUMBER(G436))),"Add units and revenue","OK")))))))</f>
        <v/>
      </c>
    </row>
    <row r="437">
      <c r="A437" s="17" t="n"/>
      <c r="B437" s="17" t="n"/>
      <c r="C437" s="17" t="n"/>
      <c r="D437" s="18" t="n"/>
      <c r="E437" s="18" t="n"/>
      <c r="F437" s="19" t="n"/>
      <c r="G437" s="20" t="n"/>
      <c r="H437" s="21">
        <f>IF(AND(ISNUMBER(D437),ISNUMBER(E437)),E437-D437+1,"")</f>
        <v/>
      </c>
      <c r="I437" s="22">
        <f>IF(AND(ISNUMBER(F437),N(F437)&gt;0,ISNUMBER(G437)),G437/F437,"")</f>
        <v/>
      </c>
      <c r="J437" s="21">
        <f>IF(OR(A437="",B437=""),"",IF(C437=Yr_Cur,"CY",IF(C437=Yr_Prev,"PY","")))</f>
        <v/>
      </c>
      <c r="K437" s="21">
        <f>IF(J437="","",IF(J437="CY",SUMIFS(Dat_H,Dat_A,A437,Dat_B,B437,Dat_C,Yr_Prev),SUMIFS(Dat_H,Dat_A,A437,Dat_B,B437,Dat_C,Yr_Cur)))</f>
        <v/>
      </c>
      <c r="L437" s="21">
        <f>IF(J437="",0,IF(AND(ISNUMBER(H437),N(K437)&gt;0,ISNUMBER(F437),ISNUMBER(G437),OR(Sel_Market="All markets",A437=Sel_Market),COUNTIFS(Control!$B$11:$B$13,B437,Control!$C$11:$C$13,"Yes")&gt;0),1,0))</f>
        <v/>
      </c>
      <c r="M437" s="21">
        <f>IF(L437=1,IF(J437="CY",H437,K437),"")</f>
        <v/>
      </c>
      <c r="N437" s="21">
        <f>IF(L437=1,IF(J437="PY",H437,K437),"")</f>
        <v/>
      </c>
      <c r="O437" s="23">
        <f>IF(L437=1,IF(J437="PY",F437*M437/N437,F437),0)</f>
        <v/>
      </c>
      <c r="P437" s="23">
        <f>IF(L437=1,IF(J437="PY",G437*M437/N437,G437),0)</f>
        <v/>
      </c>
      <c r="Q437" s="23">
        <f>IF(AND(L437=1,J437="PY"),F437*(N437-M437)/N437,0)</f>
        <v/>
      </c>
      <c r="R437" s="23">
        <f>IF(AND(L437=1,J437="PY"),G437*(N437-M437)/N437,0)</f>
        <v/>
      </c>
      <c r="S437" s="21">
        <f>IF(COUNTA(A437:G437)=0,"",IF(OR(A437="",B437="",NOT(ISNUMBER(C437))),"Fill market, product and year",IF(COUNTIF(Control!$B$11:$B$13,B437)=0,"Unknown product",IF(COUNTIFS(Dat_A,A437,Dat_B,B437,Dat_C,C437)&gt;1,"Duplicate market/product/year",IF(OR(NOT(ISNUMBER(D437)),NOT(ISNUMBER(E437))),"Add launch date and Data through date",IF(E437&lt;D437,"Data through is before launch",IF(OR(NOT(ISNUMBER(F437)),NOT(ISNUMBER(G437))),"Add units and revenue","OK")))))))</f>
        <v/>
      </c>
    </row>
    <row r="438">
      <c r="A438" s="17" t="n"/>
      <c r="B438" s="17" t="n"/>
      <c r="C438" s="17" t="n"/>
      <c r="D438" s="18" t="n"/>
      <c r="E438" s="18" t="n"/>
      <c r="F438" s="19" t="n"/>
      <c r="G438" s="20" t="n"/>
      <c r="H438" s="21">
        <f>IF(AND(ISNUMBER(D438),ISNUMBER(E438)),E438-D438+1,"")</f>
        <v/>
      </c>
      <c r="I438" s="22">
        <f>IF(AND(ISNUMBER(F438),N(F438)&gt;0,ISNUMBER(G438)),G438/F438,"")</f>
        <v/>
      </c>
      <c r="J438" s="21">
        <f>IF(OR(A438="",B438=""),"",IF(C438=Yr_Cur,"CY",IF(C438=Yr_Prev,"PY","")))</f>
        <v/>
      </c>
      <c r="K438" s="21">
        <f>IF(J438="","",IF(J438="CY",SUMIFS(Dat_H,Dat_A,A438,Dat_B,B438,Dat_C,Yr_Prev),SUMIFS(Dat_H,Dat_A,A438,Dat_B,B438,Dat_C,Yr_Cur)))</f>
        <v/>
      </c>
      <c r="L438" s="21">
        <f>IF(J438="",0,IF(AND(ISNUMBER(H438),N(K438)&gt;0,ISNUMBER(F438),ISNUMBER(G438),OR(Sel_Market="All markets",A438=Sel_Market),COUNTIFS(Control!$B$11:$B$13,B438,Control!$C$11:$C$13,"Yes")&gt;0),1,0))</f>
        <v/>
      </c>
      <c r="M438" s="21">
        <f>IF(L438=1,IF(J438="CY",H438,K438),"")</f>
        <v/>
      </c>
      <c r="N438" s="21">
        <f>IF(L438=1,IF(J438="PY",H438,K438),"")</f>
        <v/>
      </c>
      <c r="O438" s="23">
        <f>IF(L438=1,IF(J438="PY",F438*M438/N438,F438),0)</f>
        <v/>
      </c>
      <c r="P438" s="23">
        <f>IF(L438=1,IF(J438="PY",G438*M438/N438,G438),0)</f>
        <v/>
      </c>
      <c r="Q438" s="23">
        <f>IF(AND(L438=1,J438="PY"),F438*(N438-M438)/N438,0)</f>
        <v/>
      </c>
      <c r="R438" s="23">
        <f>IF(AND(L438=1,J438="PY"),G438*(N438-M438)/N438,0)</f>
        <v/>
      </c>
      <c r="S438" s="21">
        <f>IF(COUNTA(A438:G438)=0,"",IF(OR(A438="",B438="",NOT(ISNUMBER(C438))),"Fill market, product and year",IF(COUNTIF(Control!$B$11:$B$13,B438)=0,"Unknown product",IF(COUNTIFS(Dat_A,A438,Dat_B,B438,Dat_C,C438)&gt;1,"Duplicate market/product/year",IF(OR(NOT(ISNUMBER(D438)),NOT(ISNUMBER(E438))),"Add launch date and Data through date",IF(E438&lt;D438,"Data through is before launch",IF(OR(NOT(ISNUMBER(F438)),NOT(ISNUMBER(G438))),"Add units and revenue","OK")))))))</f>
        <v/>
      </c>
    </row>
    <row r="439">
      <c r="A439" s="17" t="n"/>
      <c r="B439" s="17" t="n"/>
      <c r="C439" s="17" t="n"/>
      <c r="D439" s="18" t="n"/>
      <c r="E439" s="18" t="n"/>
      <c r="F439" s="19" t="n"/>
      <c r="G439" s="20" t="n"/>
      <c r="H439" s="21">
        <f>IF(AND(ISNUMBER(D439),ISNUMBER(E439)),E439-D439+1,"")</f>
        <v/>
      </c>
      <c r="I439" s="22">
        <f>IF(AND(ISNUMBER(F439),N(F439)&gt;0,ISNUMBER(G439)),G439/F439,"")</f>
        <v/>
      </c>
      <c r="J439" s="21">
        <f>IF(OR(A439="",B439=""),"",IF(C439=Yr_Cur,"CY",IF(C439=Yr_Prev,"PY","")))</f>
        <v/>
      </c>
      <c r="K439" s="21">
        <f>IF(J439="","",IF(J439="CY",SUMIFS(Dat_H,Dat_A,A439,Dat_B,B439,Dat_C,Yr_Prev),SUMIFS(Dat_H,Dat_A,A439,Dat_B,B439,Dat_C,Yr_Cur)))</f>
        <v/>
      </c>
      <c r="L439" s="21">
        <f>IF(J439="",0,IF(AND(ISNUMBER(H439),N(K439)&gt;0,ISNUMBER(F439),ISNUMBER(G439),OR(Sel_Market="All markets",A439=Sel_Market),COUNTIFS(Control!$B$11:$B$13,B439,Control!$C$11:$C$13,"Yes")&gt;0),1,0))</f>
        <v/>
      </c>
      <c r="M439" s="21">
        <f>IF(L439=1,IF(J439="CY",H439,K439),"")</f>
        <v/>
      </c>
      <c r="N439" s="21">
        <f>IF(L439=1,IF(J439="PY",H439,K439),"")</f>
        <v/>
      </c>
      <c r="O439" s="23">
        <f>IF(L439=1,IF(J439="PY",F439*M439/N439,F439),0)</f>
        <v/>
      </c>
      <c r="P439" s="23">
        <f>IF(L439=1,IF(J439="PY",G439*M439/N439,G439),0)</f>
        <v/>
      </c>
      <c r="Q439" s="23">
        <f>IF(AND(L439=1,J439="PY"),F439*(N439-M439)/N439,0)</f>
        <v/>
      </c>
      <c r="R439" s="23">
        <f>IF(AND(L439=1,J439="PY"),G439*(N439-M439)/N439,0)</f>
        <v/>
      </c>
      <c r="S439" s="21">
        <f>IF(COUNTA(A439:G439)=0,"",IF(OR(A439="",B439="",NOT(ISNUMBER(C439))),"Fill market, product and year",IF(COUNTIF(Control!$B$11:$B$13,B439)=0,"Unknown product",IF(COUNTIFS(Dat_A,A439,Dat_B,B439,Dat_C,C439)&gt;1,"Duplicate market/product/year",IF(OR(NOT(ISNUMBER(D439)),NOT(ISNUMBER(E439))),"Add launch date and Data through date",IF(E439&lt;D439,"Data through is before launch",IF(OR(NOT(ISNUMBER(F439)),NOT(ISNUMBER(G439))),"Add units and revenue","OK")))))))</f>
        <v/>
      </c>
    </row>
    <row r="440">
      <c r="A440" s="17" t="n"/>
      <c r="B440" s="17" t="n"/>
      <c r="C440" s="17" t="n"/>
      <c r="D440" s="18" t="n"/>
      <c r="E440" s="18" t="n"/>
      <c r="F440" s="19" t="n"/>
      <c r="G440" s="20" t="n"/>
      <c r="H440" s="21">
        <f>IF(AND(ISNUMBER(D440),ISNUMBER(E440)),E440-D440+1,"")</f>
        <v/>
      </c>
      <c r="I440" s="22">
        <f>IF(AND(ISNUMBER(F440),N(F440)&gt;0,ISNUMBER(G440)),G440/F440,"")</f>
        <v/>
      </c>
      <c r="J440" s="21">
        <f>IF(OR(A440="",B440=""),"",IF(C440=Yr_Cur,"CY",IF(C440=Yr_Prev,"PY","")))</f>
        <v/>
      </c>
      <c r="K440" s="21">
        <f>IF(J440="","",IF(J440="CY",SUMIFS(Dat_H,Dat_A,A440,Dat_B,B440,Dat_C,Yr_Prev),SUMIFS(Dat_H,Dat_A,A440,Dat_B,B440,Dat_C,Yr_Cur)))</f>
        <v/>
      </c>
      <c r="L440" s="21">
        <f>IF(J440="",0,IF(AND(ISNUMBER(H440),N(K440)&gt;0,ISNUMBER(F440),ISNUMBER(G440),OR(Sel_Market="All markets",A440=Sel_Market),COUNTIFS(Control!$B$11:$B$13,B440,Control!$C$11:$C$13,"Yes")&gt;0),1,0))</f>
        <v/>
      </c>
      <c r="M440" s="21">
        <f>IF(L440=1,IF(J440="CY",H440,K440),"")</f>
        <v/>
      </c>
      <c r="N440" s="21">
        <f>IF(L440=1,IF(J440="PY",H440,K440),"")</f>
        <v/>
      </c>
      <c r="O440" s="23">
        <f>IF(L440=1,IF(J440="PY",F440*M440/N440,F440),0)</f>
        <v/>
      </c>
      <c r="P440" s="23">
        <f>IF(L440=1,IF(J440="PY",G440*M440/N440,G440),0)</f>
        <v/>
      </c>
      <c r="Q440" s="23">
        <f>IF(AND(L440=1,J440="PY"),F440*(N440-M440)/N440,0)</f>
        <v/>
      </c>
      <c r="R440" s="23">
        <f>IF(AND(L440=1,J440="PY"),G440*(N440-M440)/N440,0)</f>
        <v/>
      </c>
      <c r="S440" s="21">
        <f>IF(COUNTA(A440:G440)=0,"",IF(OR(A440="",B440="",NOT(ISNUMBER(C440))),"Fill market, product and year",IF(COUNTIF(Control!$B$11:$B$13,B440)=0,"Unknown product",IF(COUNTIFS(Dat_A,A440,Dat_B,B440,Dat_C,C440)&gt;1,"Duplicate market/product/year",IF(OR(NOT(ISNUMBER(D440)),NOT(ISNUMBER(E440))),"Add launch date and Data through date",IF(E440&lt;D440,"Data through is before launch",IF(OR(NOT(ISNUMBER(F440)),NOT(ISNUMBER(G440))),"Add units and revenue","OK")))))))</f>
        <v/>
      </c>
    </row>
    <row r="441">
      <c r="A441" s="17" t="n"/>
      <c r="B441" s="17" t="n"/>
      <c r="C441" s="17" t="n"/>
      <c r="D441" s="18" t="n"/>
      <c r="E441" s="18" t="n"/>
      <c r="F441" s="19" t="n"/>
      <c r="G441" s="20" t="n"/>
      <c r="H441" s="21">
        <f>IF(AND(ISNUMBER(D441),ISNUMBER(E441)),E441-D441+1,"")</f>
        <v/>
      </c>
      <c r="I441" s="22">
        <f>IF(AND(ISNUMBER(F441),N(F441)&gt;0,ISNUMBER(G441)),G441/F441,"")</f>
        <v/>
      </c>
      <c r="J441" s="21">
        <f>IF(OR(A441="",B441=""),"",IF(C441=Yr_Cur,"CY",IF(C441=Yr_Prev,"PY","")))</f>
        <v/>
      </c>
      <c r="K441" s="21">
        <f>IF(J441="","",IF(J441="CY",SUMIFS(Dat_H,Dat_A,A441,Dat_B,B441,Dat_C,Yr_Prev),SUMIFS(Dat_H,Dat_A,A441,Dat_B,B441,Dat_C,Yr_Cur)))</f>
        <v/>
      </c>
      <c r="L441" s="21">
        <f>IF(J441="",0,IF(AND(ISNUMBER(H441),N(K441)&gt;0,ISNUMBER(F441),ISNUMBER(G441),OR(Sel_Market="All markets",A441=Sel_Market),COUNTIFS(Control!$B$11:$B$13,B441,Control!$C$11:$C$13,"Yes")&gt;0),1,0))</f>
        <v/>
      </c>
      <c r="M441" s="21">
        <f>IF(L441=1,IF(J441="CY",H441,K441),"")</f>
        <v/>
      </c>
      <c r="N441" s="21">
        <f>IF(L441=1,IF(J441="PY",H441,K441),"")</f>
        <v/>
      </c>
      <c r="O441" s="23">
        <f>IF(L441=1,IF(J441="PY",F441*M441/N441,F441),0)</f>
        <v/>
      </c>
      <c r="P441" s="23">
        <f>IF(L441=1,IF(J441="PY",G441*M441/N441,G441),0)</f>
        <v/>
      </c>
      <c r="Q441" s="23">
        <f>IF(AND(L441=1,J441="PY"),F441*(N441-M441)/N441,0)</f>
        <v/>
      </c>
      <c r="R441" s="23">
        <f>IF(AND(L441=1,J441="PY"),G441*(N441-M441)/N441,0)</f>
        <v/>
      </c>
      <c r="S441" s="21">
        <f>IF(COUNTA(A441:G441)=0,"",IF(OR(A441="",B441="",NOT(ISNUMBER(C441))),"Fill market, product and year",IF(COUNTIF(Control!$B$11:$B$13,B441)=0,"Unknown product",IF(COUNTIFS(Dat_A,A441,Dat_B,B441,Dat_C,C441)&gt;1,"Duplicate market/product/year",IF(OR(NOT(ISNUMBER(D441)),NOT(ISNUMBER(E441))),"Add launch date and Data through date",IF(E441&lt;D441,"Data through is before launch",IF(OR(NOT(ISNUMBER(F441)),NOT(ISNUMBER(G441))),"Add units and revenue","OK")))))))</f>
        <v/>
      </c>
    </row>
    <row r="442">
      <c r="A442" s="17" t="n"/>
      <c r="B442" s="17" t="n"/>
      <c r="C442" s="17" t="n"/>
      <c r="D442" s="18" t="n"/>
      <c r="E442" s="18" t="n"/>
      <c r="F442" s="19" t="n"/>
      <c r="G442" s="20" t="n"/>
      <c r="H442" s="21">
        <f>IF(AND(ISNUMBER(D442),ISNUMBER(E442)),E442-D442+1,"")</f>
        <v/>
      </c>
      <c r="I442" s="22">
        <f>IF(AND(ISNUMBER(F442),N(F442)&gt;0,ISNUMBER(G442)),G442/F442,"")</f>
        <v/>
      </c>
      <c r="J442" s="21">
        <f>IF(OR(A442="",B442=""),"",IF(C442=Yr_Cur,"CY",IF(C442=Yr_Prev,"PY","")))</f>
        <v/>
      </c>
      <c r="K442" s="21">
        <f>IF(J442="","",IF(J442="CY",SUMIFS(Dat_H,Dat_A,A442,Dat_B,B442,Dat_C,Yr_Prev),SUMIFS(Dat_H,Dat_A,A442,Dat_B,B442,Dat_C,Yr_Cur)))</f>
        <v/>
      </c>
      <c r="L442" s="21">
        <f>IF(J442="",0,IF(AND(ISNUMBER(H442),N(K442)&gt;0,ISNUMBER(F442),ISNUMBER(G442),OR(Sel_Market="All markets",A442=Sel_Market),COUNTIFS(Control!$B$11:$B$13,B442,Control!$C$11:$C$13,"Yes")&gt;0),1,0))</f>
        <v/>
      </c>
      <c r="M442" s="21">
        <f>IF(L442=1,IF(J442="CY",H442,K442),"")</f>
        <v/>
      </c>
      <c r="N442" s="21">
        <f>IF(L442=1,IF(J442="PY",H442,K442),"")</f>
        <v/>
      </c>
      <c r="O442" s="23">
        <f>IF(L442=1,IF(J442="PY",F442*M442/N442,F442),0)</f>
        <v/>
      </c>
      <c r="P442" s="23">
        <f>IF(L442=1,IF(J442="PY",G442*M442/N442,G442),0)</f>
        <v/>
      </c>
      <c r="Q442" s="23">
        <f>IF(AND(L442=1,J442="PY"),F442*(N442-M442)/N442,0)</f>
        <v/>
      </c>
      <c r="R442" s="23">
        <f>IF(AND(L442=1,J442="PY"),G442*(N442-M442)/N442,0)</f>
        <v/>
      </c>
      <c r="S442" s="21">
        <f>IF(COUNTA(A442:G442)=0,"",IF(OR(A442="",B442="",NOT(ISNUMBER(C442))),"Fill market, product and year",IF(COUNTIF(Control!$B$11:$B$13,B442)=0,"Unknown product",IF(COUNTIFS(Dat_A,A442,Dat_B,B442,Dat_C,C442)&gt;1,"Duplicate market/product/year",IF(OR(NOT(ISNUMBER(D442)),NOT(ISNUMBER(E442))),"Add launch date and Data through date",IF(E442&lt;D442,"Data through is before launch",IF(OR(NOT(ISNUMBER(F442)),NOT(ISNUMBER(G442))),"Add units and revenue","OK")))))))</f>
        <v/>
      </c>
    </row>
    <row r="443">
      <c r="A443" s="17" t="n"/>
      <c r="B443" s="17" t="n"/>
      <c r="C443" s="17" t="n"/>
      <c r="D443" s="18" t="n"/>
      <c r="E443" s="18" t="n"/>
      <c r="F443" s="19" t="n"/>
      <c r="G443" s="20" t="n"/>
      <c r="H443" s="21">
        <f>IF(AND(ISNUMBER(D443),ISNUMBER(E443)),E443-D443+1,"")</f>
        <v/>
      </c>
      <c r="I443" s="22">
        <f>IF(AND(ISNUMBER(F443),N(F443)&gt;0,ISNUMBER(G443)),G443/F443,"")</f>
        <v/>
      </c>
      <c r="J443" s="21">
        <f>IF(OR(A443="",B443=""),"",IF(C443=Yr_Cur,"CY",IF(C443=Yr_Prev,"PY","")))</f>
        <v/>
      </c>
      <c r="K443" s="21">
        <f>IF(J443="","",IF(J443="CY",SUMIFS(Dat_H,Dat_A,A443,Dat_B,B443,Dat_C,Yr_Prev),SUMIFS(Dat_H,Dat_A,A443,Dat_B,B443,Dat_C,Yr_Cur)))</f>
        <v/>
      </c>
      <c r="L443" s="21">
        <f>IF(J443="",0,IF(AND(ISNUMBER(H443),N(K443)&gt;0,ISNUMBER(F443),ISNUMBER(G443),OR(Sel_Market="All markets",A443=Sel_Market),COUNTIFS(Control!$B$11:$B$13,B443,Control!$C$11:$C$13,"Yes")&gt;0),1,0))</f>
        <v/>
      </c>
      <c r="M443" s="21">
        <f>IF(L443=1,IF(J443="CY",H443,K443),"")</f>
        <v/>
      </c>
      <c r="N443" s="21">
        <f>IF(L443=1,IF(J443="PY",H443,K443),"")</f>
        <v/>
      </c>
      <c r="O443" s="23">
        <f>IF(L443=1,IF(J443="PY",F443*M443/N443,F443),0)</f>
        <v/>
      </c>
      <c r="P443" s="23">
        <f>IF(L443=1,IF(J443="PY",G443*M443/N443,G443),0)</f>
        <v/>
      </c>
      <c r="Q443" s="23">
        <f>IF(AND(L443=1,J443="PY"),F443*(N443-M443)/N443,0)</f>
        <v/>
      </c>
      <c r="R443" s="23">
        <f>IF(AND(L443=1,J443="PY"),G443*(N443-M443)/N443,0)</f>
        <v/>
      </c>
      <c r="S443" s="21">
        <f>IF(COUNTA(A443:G443)=0,"",IF(OR(A443="",B443="",NOT(ISNUMBER(C443))),"Fill market, product and year",IF(COUNTIF(Control!$B$11:$B$13,B443)=0,"Unknown product",IF(COUNTIFS(Dat_A,A443,Dat_B,B443,Dat_C,C443)&gt;1,"Duplicate market/product/year",IF(OR(NOT(ISNUMBER(D443)),NOT(ISNUMBER(E443))),"Add launch date and Data through date",IF(E443&lt;D443,"Data through is before launch",IF(OR(NOT(ISNUMBER(F443)),NOT(ISNUMBER(G443))),"Add units and revenue","OK")))))))</f>
        <v/>
      </c>
    </row>
    <row r="444">
      <c r="A444" s="17" t="n"/>
      <c r="B444" s="17" t="n"/>
      <c r="C444" s="17" t="n"/>
      <c r="D444" s="18" t="n"/>
      <c r="E444" s="18" t="n"/>
      <c r="F444" s="19" t="n"/>
      <c r="G444" s="20" t="n"/>
      <c r="H444" s="21">
        <f>IF(AND(ISNUMBER(D444),ISNUMBER(E444)),E444-D444+1,"")</f>
        <v/>
      </c>
      <c r="I444" s="22">
        <f>IF(AND(ISNUMBER(F444),N(F444)&gt;0,ISNUMBER(G444)),G444/F444,"")</f>
        <v/>
      </c>
      <c r="J444" s="21">
        <f>IF(OR(A444="",B444=""),"",IF(C444=Yr_Cur,"CY",IF(C444=Yr_Prev,"PY","")))</f>
        <v/>
      </c>
      <c r="K444" s="21">
        <f>IF(J444="","",IF(J444="CY",SUMIFS(Dat_H,Dat_A,A444,Dat_B,B444,Dat_C,Yr_Prev),SUMIFS(Dat_H,Dat_A,A444,Dat_B,B444,Dat_C,Yr_Cur)))</f>
        <v/>
      </c>
      <c r="L444" s="21">
        <f>IF(J444="",0,IF(AND(ISNUMBER(H444),N(K444)&gt;0,ISNUMBER(F444),ISNUMBER(G444),OR(Sel_Market="All markets",A444=Sel_Market),COUNTIFS(Control!$B$11:$B$13,B444,Control!$C$11:$C$13,"Yes")&gt;0),1,0))</f>
        <v/>
      </c>
      <c r="M444" s="21">
        <f>IF(L444=1,IF(J444="CY",H444,K444),"")</f>
        <v/>
      </c>
      <c r="N444" s="21">
        <f>IF(L444=1,IF(J444="PY",H444,K444),"")</f>
        <v/>
      </c>
      <c r="O444" s="23">
        <f>IF(L444=1,IF(J444="PY",F444*M444/N444,F444),0)</f>
        <v/>
      </c>
      <c r="P444" s="23">
        <f>IF(L444=1,IF(J444="PY",G444*M444/N444,G444),0)</f>
        <v/>
      </c>
      <c r="Q444" s="23">
        <f>IF(AND(L444=1,J444="PY"),F444*(N444-M444)/N444,0)</f>
        <v/>
      </c>
      <c r="R444" s="23">
        <f>IF(AND(L444=1,J444="PY"),G444*(N444-M444)/N444,0)</f>
        <v/>
      </c>
      <c r="S444" s="21">
        <f>IF(COUNTA(A444:G444)=0,"",IF(OR(A444="",B444="",NOT(ISNUMBER(C444))),"Fill market, product and year",IF(COUNTIF(Control!$B$11:$B$13,B444)=0,"Unknown product",IF(COUNTIFS(Dat_A,A444,Dat_B,B444,Dat_C,C444)&gt;1,"Duplicate market/product/year",IF(OR(NOT(ISNUMBER(D444)),NOT(ISNUMBER(E444))),"Add launch date and Data through date",IF(E444&lt;D444,"Data through is before launch",IF(OR(NOT(ISNUMBER(F444)),NOT(ISNUMBER(G444))),"Add units and revenue","OK")))))))</f>
        <v/>
      </c>
    </row>
    <row r="445">
      <c r="A445" s="17" t="n"/>
      <c r="B445" s="17" t="n"/>
      <c r="C445" s="17" t="n"/>
      <c r="D445" s="18" t="n"/>
      <c r="E445" s="18" t="n"/>
      <c r="F445" s="19" t="n"/>
      <c r="G445" s="20" t="n"/>
      <c r="H445" s="21">
        <f>IF(AND(ISNUMBER(D445),ISNUMBER(E445)),E445-D445+1,"")</f>
        <v/>
      </c>
      <c r="I445" s="22">
        <f>IF(AND(ISNUMBER(F445),N(F445)&gt;0,ISNUMBER(G445)),G445/F445,"")</f>
        <v/>
      </c>
      <c r="J445" s="21">
        <f>IF(OR(A445="",B445=""),"",IF(C445=Yr_Cur,"CY",IF(C445=Yr_Prev,"PY","")))</f>
        <v/>
      </c>
      <c r="K445" s="21">
        <f>IF(J445="","",IF(J445="CY",SUMIFS(Dat_H,Dat_A,A445,Dat_B,B445,Dat_C,Yr_Prev),SUMIFS(Dat_H,Dat_A,A445,Dat_B,B445,Dat_C,Yr_Cur)))</f>
        <v/>
      </c>
      <c r="L445" s="21">
        <f>IF(J445="",0,IF(AND(ISNUMBER(H445),N(K445)&gt;0,ISNUMBER(F445),ISNUMBER(G445),OR(Sel_Market="All markets",A445=Sel_Market),COUNTIFS(Control!$B$11:$B$13,B445,Control!$C$11:$C$13,"Yes")&gt;0),1,0))</f>
        <v/>
      </c>
      <c r="M445" s="21">
        <f>IF(L445=1,IF(J445="CY",H445,K445),"")</f>
        <v/>
      </c>
      <c r="N445" s="21">
        <f>IF(L445=1,IF(J445="PY",H445,K445),"")</f>
        <v/>
      </c>
      <c r="O445" s="23">
        <f>IF(L445=1,IF(J445="PY",F445*M445/N445,F445),0)</f>
        <v/>
      </c>
      <c r="P445" s="23">
        <f>IF(L445=1,IF(J445="PY",G445*M445/N445,G445),0)</f>
        <v/>
      </c>
      <c r="Q445" s="23">
        <f>IF(AND(L445=1,J445="PY"),F445*(N445-M445)/N445,0)</f>
        <v/>
      </c>
      <c r="R445" s="23">
        <f>IF(AND(L445=1,J445="PY"),G445*(N445-M445)/N445,0)</f>
        <v/>
      </c>
      <c r="S445" s="21">
        <f>IF(COUNTA(A445:G445)=0,"",IF(OR(A445="",B445="",NOT(ISNUMBER(C445))),"Fill market, product and year",IF(COUNTIF(Control!$B$11:$B$13,B445)=0,"Unknown product",IF(COUNTIFS(Dat_A,A445,Dat_B,B445,Dat_C,C445)&gt;1,"Duplicate market/product/year",IF(OR(NOT(ISNUMBER(D445)),NOT(ISNUMBER(E445))),"Add launch date and Data through date",IF(E445&lt;D445,"Data through is before launch",IF(OR(NOT(ISNUMBER(F445)),NOT(ISNUMBER(G445))),"Add units and revenue","OK")))))))</f>
        <v/>
      </c>
    </row>
    <row r="446">
      <c r="A446" s="17" t="n"/>
      <c r="B446" s="17" t="n"/>
      <c r="C446" s="17" t="n"/>
      <c r="D446" s="18" t="n"/>
      <c r="E446" s="18" t="n"/>
      <c r="F446" s="19" t="n"/>
      <c r="G446" s="20" t="n"/>
      <c r="H446" s="21">
        <f>IF(AND(ISNUMBER(D446),ISNUMBER(E446)),E446-D446+1,"")</f>
        <v/>
      </c>
      <c r="I446" s="22">
        <f>IF(AND(ISNUMBER(F446),N(F446)&gt;0,ISNUMBER(G446)),G446/F446,"")</f>
        <v/>
      </c>
      <c r="J446" s="21">
        <f>IF(OR(A446="",B446=""),"",IF(C446=Yr_Cur,"CY",IF(C446=Yr_Prev,"PY","")))</f>
        <v/>
      </c>
      <c r="K446" s="21">
        <f>IF(J446="","",IF(J446="CY",SUMIFS(Dat_H,Dat_A,A446,Dat_B,B446,Dat_C,Yr_Prev),SUMIFS(Dat_H,Dat_A,A446,Dat_B,B446,Dat_C,Yr_Cur)))</f>
        <v/>
      </c>
      <c r="L446" s="21">
        <f>IF(J446="",0,IF(AND(ISNUMBER(H446),N(K446)&gt;0,ISNUMBER(F446),ISNUMBER(G446),OR(Sel_Market="All markets",A446=Sel_Market),COUNTIFS(Control!$B$11:$B$13,B446,Control!$C$11:$C$13,"Yes")&gt;0),1,0))</f>
        <v/>
      </c>
      <c r="M446" s="21">
        <f>IF(L446=1,IF(J446="CY",H446,K446),"")</f>
        <v/>
      </c>
      <c r="N446" s="21">
        <f>IF(L446=1,IF(J446="PY",H446,K446),"")</f>
        <v/>
      </c>
      <c r="O446" s="23">
        <f>IF(L446=1,IF(J446="PY",F446*M446/N446,F446),0)</f>
        <v/>
      </c>
      <c r="P446" s="23">
        <f>IF(L446=1,IF(J446="PY",G446*M446/N446,G446),0)</f>
        <v/>
      </c>
      <c r="Q446" s="23">
        <f>IF(AND(L446=1,J446="PY"),F446*(N446-M446)/N446,0)</f>
        <v/>
      </c>
      <c r="R446" s="23">
        <f>IF(AND(L446=1,J446="PY"),G446*(N446-M446)/N446,0)</f>
        <v/>
      </c>
      <c r="S446" s="21">
        <f>IF(COUNTA(A446:G446)=0,"",IF(OR(A446="",B446="",NOT(ISNUMBER(C446))),"Fill market, product and year",IF(COUNTIF(Control!$B$11:$B$13,B446)=0,"Unknown product",IF(COUNTIFS(Dat_A,A446,Dat_B,B446,Dat_C,C446)&gt;1,"Duplicate market/product/year",IF(OR(NOT(ISNUMBER(D446)),NOT(ISNUMBER(E446))),"Add launch date and Data through date",IF(E446&lt;D446,"Data through is before launch",IF(OR(NOT(ISNUMBER(F446)),NOT(ISNUMBER(G446))),"Add units and revenue","OK")))))))</f>
        <v/>
      </c>
    </row>
    <row r="447">
      <c r="A447" s="17" t="n"/>
      <c r="B447" s="17" t="n"/>
      <c r="C447" s="17" t="n"/>
      <c r="D447" s="18" t="n"/>
      <c r="E447" s="18" t="n"/>
      <c r="F447" s="19" t="n"/>
      <c r="G447" s="20" t="n"/>
      <c r="H447" s="21">
        <f>IF(AND(ISNUMBER(D447),ISNUMBER(E447)),E447-D447+1,"")</f>
        <v/>
      </c>
      <c r="I447" s="22">
        <f>IF(AND(ISNUMBER(F447),N(F447)&gt;0,ISNUMBER(G447)),G447/F447,"")</f>
        <v/>
      </c>
      <c r="J447" s="21">
        <f>IF(OR(A447="",B447=""),"",IF(C447=Yr_Cur,"CY",IF(C447=Yr_Prev,"PY","")))</f>
        <v/>
      </c>
      <c r="K447" s="21">
        <f>IF(J447="","",IF(J447="CY",SUMIFS(Dat_H,Dat_A,A447,Dat_B,B447,Dat_C,Yr_Prev),SUMIFS(Dat_H,Dat_A,A447,Dat_B,B447,Dat_C,Yr_Cur)))</f>
        <v/>
      </c>
      <c r="L447" s="21">
        <f>IF(J447="",0,IF(AND(ISNUMBER(H447),N(K447)&gt;0,ISNUMBER(F447),ISNUMBER(G447),OR(Sel_Market="All markets",A447=Sel_Market),COUNTIFS(Control!$B$11:$B$13,B447,Control!$C$11:$C$13,"Yes")&gt;0),1,0))</f>
        <v/>
      </c>
      <c r="M447" s="21">
        <f>IF(L447=1,IF(J447="CY",H447,K447),"")</f>
        <v/>
      </c>
      <c r="N447" s="21">
        <f>IF(L447=1,IF(J447="PY",H447,K447),"")</f>
        <v/>
      </c>
      <c r="O447" s="23">
        <f>IF(L447=1,IF(J447="PY",F447*M447/N447,F447),0)</f>
        <v/>
      </c>
      <c r="P447" s="23">
        <f>IF(L447=1,IF(J447="PY",G447*M447/N447,G447),0)</f>
        <v/>
      </c>
      <c r="Q447" s="23">
        <f>IF(AND(L447=1,J447="PY"),F447*(N447-M447)/N447,0)</f>
        <v/>
      </c>
      <c r="R447" s="23">
        <f>IF(AND(L447=1,J447="PY"),G447*(N447-M447)/N447,0)</f>
        <v/>
      </c>
      <c r="S447" s="21">
        <f>IF(COUNTA(A447:G447)=0,"",IF(OR(A447="",B447="",NOT(ISNUMBER(C447))),"Fill market, product and year",IF(COUNTIF(Control!$B$11:$B$13,B447)=0,"Unknown product",IF(COUNTIFS(Dat_A,A447,Dat_B,B447,Dat_C,C447)&gt;1,"Duplicate market/product/year",IF(OR(NOT(ISNUMBER(D447)),NOT(ISNUMBER(E447))),"Add launch date and Data through date",IF(E447&lt;D447,"Data through is before launch",IF(OR(NOT(ISNUMBER(F447)),NOT(ISNUMBER(G447))),"Add units and revenue","OK")))))))</f>
        <v/>
      </c>
    </row>
    <row r="448">
      <c r="A448" s="17" t="n"/>
      <c r="B448" s="17" t="n"/>
      <c r="C448" s="17" t="n"/>
      <c r="D448" s="18" t="n"/>
      <c r="E448" s="18" t="n"/>
      <c r="F448" s="19" t="n"/>
      <c r="G448" s="20" t="n"/>
      <c r="H448" s="21">
        <f>IF(AND(ISNUMBER(D448),ISNUMBER(E448)),E448-D448+1,"")</f>
        <v/>
      </c>
      <c r="I448" s="22">
        <f>IF(AND(ISNUMBER(F448),N(F448)&gt;0,ISNUMBER(G448)),G448/F448,"")</f>
        <v/>
      </c>
      <c r="J448" s="21">
        <f>IF(OR(A448="",B448=""),"",IF(C448=Yr_Cur,"CY",IF(C448=Yr_Prev,"PY","")))</f>
        <v/>
      </c>
      <c r="K448" s="21">
        <f>IF(J448="","",IF(J448="CY",SUMIFS(Dat_H,Dat_A,A448,Dat_B,B448,Dat_C,Yr_Prev),SUMIFS(Dat_H,Dat_A,A448,Dat_B,B448,Dat_C,Yr_Cur)))</f>
        <v/>
      </c>
      <c r="L448" s="21">
        <f>IF(J448="",0,IF(AND(ISNUMBER(H448),N(K448)&gt;0,ISNUMBER(F448),ISNUMBER(G448),OR(Sel_Market="All markets",A448=Sel_Market),COUNTIFS(Control!$B$11:$B$13,B448,Control!$C$11:$C$13,"Yes")&gt;0),1,0))</f>
        <v/>
      </c>
      <c r="M448" s="21">
        <f>IF(L448=1,IF(J448="CY",H448,K448),"")</f>
        <v/>
      </c>
      <c r="N448" s="21">
        <f>IF(L448=1,IF(J448="PY",H448,K448),"")</f>
        <v/>
      </c>
      <c r="O448" s="23">
        <f>IF(L448=1,IF(J448="PY",F448*M448/N448,F448),0)</f>
        <v/>
      </c>
      <c r="P448" s="23">
        <f>IF(L448=1,IF(J448="PY",G448*M448/N448,G448),0)</f>
        <v/>
      </c>
      <c r="Q448" s="23">
        <f>IF(AND(L448=1,J448="PY"),F448*(N448-M448)/N448,0)</f>
        <v/>
      </c>
      <c r="R448" s="23">
        <f>IF(AND(L448=1,J448="PY"),G448*(N448-M448)/N448,0)</f>
        <v/>
      </c>
      <c r="S448" s="21">
        <f>IF(COUNTA(A448:G448)=0,"",IF(OR(A448="",B448="",NOT(ISNUMBER(C448))),"Fill market, product and year",IF(COUNTIF(Control!$B$11:$B$13,B448)=0,"Unknown product",IF(COUNTIFS(Dat_A,A448,Dat_B,B448,Dat_C,C448)&gt;1,"Duplicate market/product/year",IF(OR(NOT(ISNUMBER(D448)),NOT(ISNUMBER(E448))),"Add launch date and Data through date",IF(E448&lt;D448,"Data through is before launch",IF(OR(NOT(ISNUMBER(F448)),NOT(ISNUMBER(G448))),"Add units and revenue","OK")))))))</f>
        <v/>
      </c>
    </row>
    <row r="449">
      <c r="A449" s="17" t="n"/>
      <c r="B449" s="17" t="n"/>
      <c r="C449" s="17" t="n"/>
      <c r="D449" s="18" t="n"/>
      <c r="E449" s="18" t="n"/>
      <c r="F449" s="19" t="n"/>
      <c r="G449" s="20" t="n"/>
      <c r="H449" s="21">
        <f>IF(AND(ISNUMBER(D449),ISNUMBER(E449)),E449-D449+1,"")</f>
        <v/>
      </c>
      <c r="I449" s="22">
        <f>IF(AND(ISNUMBER(F449),N(F449)&gt;0,ISNUMBER(G449)),G449/F449,"")</f>
        <v/>
      </c>
      <c r="J449" s="21">
        <f>IF(OR(A449="",B449=""),"",IF(C449=Yr_Cur,"CY",IF(C449=Yr_Prev,"PY","")))</f>
        <v/>
      </c>
      <c r="K449" s="21">
        <f>IF(J449="","",IF(J449="CY",SUMIFS(Dat_H,Dat_A,A449,Dat_B,B449,Dat_C,Yr_Prev),SUMIFS(Dat_H,Dat_A,A449,Dat_B,B449,Dat_C,Yr_Cur)))</f>
        <v/>
      </c>
      <c r="L449" s="21">
        <f>IF(J449="",0,IF(AND(ISNUMBER(H449),N(K449)&gt;0,ISNUMBER(F449),ISNUMBER(G449),OR(Sel_Market="All markets",A449=Sel_Market),COUNTIFS(Control!$B$11:$B$13,B449,Control!$C$11:$C$13,"Yes")&gt;0),1,0))</f>
        <v/>
      </c>
      <c r="M449" s="21">
        <f>IF(L449=1,IF(J449="CY",H449,K449),"")</f>
        <v/>
      </c>
      <c r="N449" s="21">
        <f>IF(L449=1,IF(J449="PY",H449,K449),"")</f>
        <v/>
      </c>
      <c r="O449" s="23">
        <f>IF(L449=1,IF(J449="PY",F449*M449/N449,F449),0)</f>
        <v/>
      </c>
      <c r="P449" s="23">
        <f>IF(L449=1,IF(J449="PY",G449*M449/N449,G449),0)</f>
        <v/>
      </c>
      <c r="Q449" s="23">
        <f>IF(AND(L449=1,J449="PY"),F449*(N449-M449)/N449,0)</f>
        <v/>
      </c>
      <c r="R449" s="23">
        <f>IF(AND(L449=1,J449="PY"),G449*(N449-M449)/N449,0)</f>
        <v/>
      </c>
      <c r="S449" s="21">
        <f>IF(COUNTA(A449:G449)=0,"",IF(OR(A449="",B449="",NOT(ISNUMBER(C449))),"Fill market, product and year",IF(COUNTIF(Control!$B$11:$B$13,B449)=0,"Unknown product",IF(COUNTIFS(Dat_A,A449,Dat_B,B449,Dat_C,C449)&gt;1,"Duplicate market/product/year",IF(OR(NOT(ISNUMBER(D449)),NOT(ISNUMBER(E449))),"Add launch date and Data through date",IF(E449&lt;D449,"Data through is before launch",IF(OR(NOT(ISNUMBER(F449)),NOT(ISNUMBER(G449))),"Add units and revenue","OK")))))))</f>
        <v/>
      </c>
    </row>
    <row r="450">
      <c r="A450" s="17" t="n"/>
      <c r="B450" s="17" t="n"/>
      <c r="C450" s="17" t="n"/>
      <c r="D450" s="18" t="n"/>
      <c r="E450" s="18" t="n"/>
      <c r="F450" s="19" t="n"/>
      <c r="G450" s="20" t="n"/>
      <c r="H450" s="21">
        <f>IF(AND(ISNUMBER(D450),ISNUMBER(E450)),E450-D450+1,"")</f>
        <v/>
      </c>
      <c r="I450" s="22">
        <f>IF(AND(ISNUMBER(F450),N(F450)&gt;0,ISNUMBER(G450)),G450/F450,"")</f>
        <v/>
      </c>
      <c r="J450" s="21">
        <f>IF(OR(A450="",B450=""),"",IF(C450=Yr_Cur,"CY",IF(C450=Yr_Prev,"PY","")))</f>
        <v/>
      </c>
      <c r="K450" s="21">
        <f>IF(J450="","",IF(J450="CY",SUMIFS(Dat_H,Dat_A,A450,Dat_B,B450,Dat_C,Yr_Prev),SUMIFS(Dat_H,Dat_A,A450,Dat_B,B450,Dat_C,Yr_Cur)))</f>
        <v/>
      </c>
      <c r="L450" s="21">
        <f>IF(J450="",0,IF(AND(ISNUMBER(H450),N(K450)&gt;0,ISNUMBER(F450),ISNUMBER(G450),OR(Sel_Market="All markets",A450=Sel_Market),COUNTIFS(Control!$B$11:$B$13,B450,Control!$C$11:$C$13,"Yes")&gt;0),1,0))</f>
        <v/>
      </c>
      <c r="M450" s="21">
        <f>IF(L450=1,IF(J450="CY",H450,K450),"")</f>
        <v/>
      </c>
      <c r="N450" s="21">
        <f>IF(L450=1,IF(J450="PY",H450,K450),"")</f>
        <v/>
      </c>
      <c r="O450" s="23">
        <f>IF(L450=1,IF(J450="PY",F450*M450/N450,F450),0)</f>
        <v/>
      </c>
      <c r="P450" s="23">
        <f>IF(L450=1,IF(J450="PY",G450*M450/N450,G450),0)</f>
        <v/>
      </c>
      <c r="Q450" s="23">
        <f>IF(AND(L450=1,J450="PY"),F450*(N450-M450)/N450,0)</f>
        <v/>
      </c>
      <c r="R450" s="23">
        <f>IF(AND(L450=1,J450="PY"),G450*(N450-M450)/N450,0)</f>
        <v/>
      </c>
      <c r="S450" s="21">
        <f>IF(COUNTA(A450:G450)=0,"",IF(OR(A450="",B450="",NOT(ISNUMBER(C450))),"Fill market, product and year",IF(COUNTIF(Control!$B$11:$B$13,B450)=0,"Unknown product",IF(COUNTIFS(Dat_A,A450,Dat_B,B450,Dat_C,C450)&gt;1,"Duplicate market/product/year",IF(OR(NOT(ISNUMBER(D450)),NOT(ISNUMBER(E450))),"Add launch date and Data through date",IF(E450&lt;D450,"Data through is before launch",IF(OR(NOT(ISNUMBER(F450)),NOT(ISNUMBER(G450))),"Add units and revenue","OK")))))))</f>
        <v/>
      </c>
    </row>
    <row r="451">
      <c r="A451" s="17" t="n"/>
      <c r="B451" s="17" t="n"/>
      <c r="C451" s="17" t="n"/>
      <c r="D451" s="18" t="n"/>
      <c r="E451" s="18" t="n"/>
      <c r="F451" s="19" t="n"/>
      <c r="G451" s="20" t="n"/>
      <c r="H451" s="21">
        <f>IF(AND(ISNUMBER(D451),ISNUMBER(E451)),E451-D451+1,"")</f>
        <v/>
      </c>
      <c r="I451" s="22">
        <f>IF(AND(ISNUMBER(F451),N(F451)&gt;0,ISNUMBER(G451)),G451/F451,"")</f>
        <v/>
      </c>
      <c r="J451" s="21">
        <f>IF(OR(A451="",B451=""),"",IF(C451=Yr_Cur,"CY",IF(C451=Yr_Prev,"PY","")))</f>
        <v/>
      </c>
      <c r="K451" s="21">
        <f>IF(J451="","",IF(J451="CY",SUMIFS(Dat_H,Dat_A,A451,Dat_B,B451,Dat_C,Yr_Prev),SUMIFS(Dat_H,Dat_A,A451,Dat_B,B451,Dat_C,Yr_Cur)))</f>
        <v/>
      </c>
      <c r="L451" s="21">
        <f>IF(J451="",0,IF(AND(ISNUMBER(H451),N(K451)&gt;0,ISNUMBER(F451),ISNUMBER(G451),OR(Sel_Market="All markets",A451=Sel_Market),COUNTIFS(Control!$B$11:$B$13,B451,Control!$C$11:$C$13,"Yes")&gt;0),1,0))</f>
        <v/>
      </c>
      <c r="M451" s="21">
        <f>IF(L451=1,IF(J451="CY",H451,K451),"")</f>
        <v/>
      </c>
      <c r="N451" s="21">
        <f>IF(L451=1,IF(J451="PY",H451,K451),"")</f>
        <v/>
      </c>
      <c r="O451" s="23">
        <f>IF(L451=1,IF(J451="PY",F451*M451/N451,F451),0)</f>
        <v/>
      </c>
      <c r="P451" s="23">
        <f>IF(L451=1,IF(J451="PY",G451*M451/N451,G451),0)</f>
        <v/>
      </c>
      <c r="Q451" s="23">
        <f>IF(AND(L451=1,J451="PY"),F451*(N451-M451)/N451,0)</f>
        <v/>
      </c>
      <c r="R451" s="23">
        <f>IF(AND(L451=1,J451="PY"),G451*(N451-M451)/N451,0)</f>
        <v/>
      </c>
      <c r="S451" s="21">
        <f>IF(COUNTA(A451:G451)=0,"",IF(OR(A451="",B451="",NOT(ISNUMBER(C451))),"Fill market, product and year",IF(COUNTIF(Control!$B$11:$B$13,B451)=0,"Unknown product",IF(COUNTIFS(Dat_A,A451,Dat_B,B451,Dat_C,C451)&gt;1,"Duplicate market/product/year",IF(OR(NOT(ISNUMBER(D451)),NOT(ISNUMBER(E451))),"Add launch date and Data through date",IF(E451&lt;D451,"Data through is before launch",IF(OR(NOT(ISNUMBER(F451)),NOT(ISNUMBER(G451))),"Add units and revenue","OK")))))))</f>
        <v/>
      </c>
    </row>
    <row r="452">
      <c r="A452" s="17" t="n"/>
      <c r="B452" s="17" t="n"/>
      <c r="C452" s="17" t="n"/>
      <c r="D452" s="18" t="n"/>
      <c r="E452" s="18" t="n"/>
      <c r="F452" s="19" t="n"/>
      <c r="G452" s="20" t="n"/>
      <c r="H452" s="21">
        <f>IF(AND(ISNUMBER(D452),ISNUMBER(E452)),E452-D452+1,"")</f>
        <v/>
      </c>
      <c r="I452" s="22">
        <f>IF(AND(ISNUMBER(F452),N(F452)&gt;0,ISNUMBER(G452)),G452/F452,"")</f>
        <v/>
      </c>
      <c r="J452" s="21">
        <f>IF(OR(A452="",B452=""),"",IF(C452=Yr_Cur,"CY",IF(C452=Yr_Prev,"PY","")))</f>
        <v/>
      </c>
      <c r="K452" s="21">
        <f>IF(J452="","",IF(J452="CY",SUMIFS(Dat_H,Dat_A,A452,Dat_B,B452,Dat_C,Yr_Prev),SUMIFS(Dat_H,Dat_A,A452,Dat_B,B452,Dat_C,Yr_Cur)))</f>
        <v/>
      </c>
      <c r="L452" s="21">
        <f>IF(J452="",0,IF(AND(ISNUMBER(H452),N(K452)&gt;0,ISNUMBER(F452),ISNUMBER(G452),OR(Sel_Market="All markets",A452=Sel_Market),COUNTIFS(Control!$B$11:$B$13,B452,Control!$C$11:$C$13,"Yes")&gt;0),1,0))</f>
        <v/>
      </c>
      <c r="M452" s="21">
        <f>IF(L452=1,IF(J452="CY",H452,K452),"")</f>
        <v/>
      </c>
      <c r="N452" s="21">
        <f>IF(L452=1,IF(J452="PY",H452,K452),"")</f>
        <v/>
      </c>
      <c r="O452" s="23">
        <f>IF(L452=1,IF(J452="PY",F452*M452/N452,F452),0)</f>
        <v/>
      </c>
      <c r="P452" s="23">
        <f>IF(L452=1,IF(J452="PY",G452*M452/N452,G452),0)</f>
        <v/>
      </c>
      <c r="Q452" s="23">
        <f>IF(AND(L452=1,J452="PY"),F452*(N452-M452)/N452,0)</f>
        <v/>
      </c>
      <c r="R452" s="23">
        <f>IF(AND(L452=1,J452="PY"),G452*(N452-M452)/N452,0)</f>
        <v/>
      </c>
      <c r="S452" s="21">
        <f>IF(COUNTA(A452:G452)=0,"",IF(OR(A452="",B452="",NOT(ISNUMBER(C452))),"Fill market, product and year",IF(COUNTIF(Control!$B$11:$B$13,B452)=0,"Unknown product",IF(COUNTIFS(Dat_A,A452,Dat_B,B452,Dat_C,C452)&gt;1,"Duplicate market/product/year",IF(OR(NOT(ISNUMBER(D452)),NOT(ISNUMBER(E452))),"Add launch date and Data through date",IF(E452&lt;D452,"Data through is before launch",IF(OR(NOT(ISNUMBER(F452)),NOT(ISNUMBER(G452))),"Add units and revenue","OK")))))))</f>
        <v/>
      </c>
    </row>
    <row r="453">
      <c r="A453" s="17" t="n"/>
      <c r="B453" s="17" t="n"/>
      <c r="C453" s="17" t="n"/>
      <c r="D453" s="18" t="n"/>
      <c r="E453" s="18" t="n"/>
      <c r="F453" s="19" t="n"/>
      <c r="G453" s="20" t="n"/>
      <c r="H453" s="21">
        <f>IF(AND(ISNUMBER(D453),ISNUMBER(E453)),E453-D453+1,"")</f>
        <v/>
      </c>
      <c r="I453" s="22">
        <f>IF(AND(ISNUMBER(F453),N(F453)&gt;0,ISNUMBER(G453)),G453/F453,"")</f>
        <v/>
      </c>
      <c r="J453" s="21">
        <f>IF(OR(A453="",B453=""),"",IF(C453=Yr_Cur,"CY",IF(C453=Yr_Prev,"PY","")))</f>
        <v/>
      </c>
      <c r="K453" s="21">
        <f>IF(J453="","",IF(J453="CY",SUMIFS(Dat_H,Dat_A,A453,Dat_B,B453,Dat_C,Yr_Prev),SUMIFS(Dat_H,Dat_A,A453,Dat_B,B453,Dat_C,Yr_Cur)))</f>
        <v/>
      </c>
      <c r="L453" s="21">
        <f>IF(J453="",0,IF(AND(ISNUMBER(H453),N(K453)&gt;0,ISNUMBER(F453),ISNUMBER(G453),OR(Sel_Market="All markets",A453=Sel_Market),COUNTIFS(Control!$B$11:$B$13,B453,Control!$C$11:$C$13,"Yes")&gt;0),1,0))</f>
        <v/>
      </c>
      <c r="M453" s="21">
        <f>IF(L453=1,IF(J453="CY",H453,K453),"")</f>
        <v/>
      </c>
      <c r="N453" s="21">
        <f>IF(L453=1,IF(J453="PY",H453,K453),"")</f>
        <v/>
      </c>
      <c r="O453" s="23">
        <f>IF(L453=1,IF(J453="PY",F453*M453/N453,F453),0)</f>
        <v/>
      </c>
      <c r="P453" s="23">
        <f>IF(L453=1,IF(J453="PY",G453*M453/N453,G453),0)</f>
        <v/>
      </c>
      <c r="Q453" s="23">
        <f>IF(AND(L453=1,J453="PY"),F453*(N453-M453)/N453,0)</f>
        <v/>
      </c>
      <c r="R453" s="23">
        <f>IF(AND(L453=1,J453="PY"),G453*(N453-M453)/N453,0)</f>
        <v/>
      </c>
      <c r="S453" s="21">
        <f>IF(COUNTA(A453:G453)=0,"",IF(OR(A453="",B453="",NOT(ISNUMBER(C453))),"Fill market, product and year",IF(COUNTIF(Control!$B$11:$B$13,B453)=0,"Unknown product",IF(COUNTIFS(Dat_A,A453,Dat_B,B453,Dat_C,C453)&gt;1,"Duplicate market/product/year",IF(OR(NOT(ISNUMBER(D453)),NOT(ISNUMBER(E453))),"Add launch date and Data through date",IF(E453&lt;D453,"Data through is before launch",IF(OR(NOT(ISNUMBER(F453)),NOT(ISNUMBER(G453))),"Add units and revenue","OK")))))))</f>
        <v/>
      </c>
    </row>
    <row r="454">
      <c r="A454" s="17" t="n"/>
      <c r="B454" s="17" t="n"/>
      <c r="C454" s="17" t="n"/>
      <c r="D454" s="18" t="n"/>
      <c r="E454" s="18" t="n"/>
      <c r="F454" s="19" t="n"/>
      <c r="G454" s="20" t="n"/>
      <c r="H454" s="21">
        <f>IF(AND(ISNUMBER(D454),ISNUMBER(E454)),E454-D454+1,"")</f>
        <v/>
      </c>
      <c r="I454" s="22">
        <f>IF(AND(ISNUMBER(F454),N(F454)&gt;0,ISNUMBER(G454)),G454/F454,"")</f>
        <v/>
      </c>
      <c r="J454" s="21">
        <f>IF(OR(A454="",B454=""),"",IF(C454=Yr_Cur,"CY",IF(C454=Yr_Prev,"PY","")))</f>
        <v/>
      </c>
      <c r="K454" s="21">
        <f>IF(J454="","",IF(J454="CY",SUMIFS(Dat_H,Dat_A,A454,Dat_B,B454,Dat_C,Yr_Prev),SUMIFS(Dat_H,Dat_A,A454,Dat_B,B454,Dat_C,Yr_Cur)))</f>
        <v/>
      </c>
      <c r="L454" s="21">
        <f>IF(J454="",0,IF(AND(ISNUMBER(H454),N(K454)&gt;0,ISNUMBER(F454),ISNUMBER(G454),OR(Sel_Market="All markets",A454=Sel_Market),COUNTIFS(Control!$B$11:$B$13,B454,Control!$C$11:$C$13,"Yes")&gt;0),1,0))</f>
        <v/>
      </c>
      <c r="M454" s="21">
        <f>IF(L454=1,IF(J454="CY",H454,K454),"")</f>
        <v/>
      </c>
      <c r="N454" s="21">
        <f>IF(L454=1,IF(J454="PY",H454,K454),"")</f>
        <v/>
      </c>
      <c r="O454" s="23">
        <f>IF(L454=1,IF(J454="PY",F454*M454/N454,F454),0)</f>
        <v/>
      </c>
      <c r="P454" s="23">
        <f>IF(L454=1,IF(J454="PY",G454*M454/N454,G454),0)</f>
        <v/>
      </c>
      <c r="Q454" s="23">
        <f>IF(AND(L454=1,J454="PY"),F454*(N454-M454)/N454,0)</f>
        <v/>
      </c>
      <c r="R454" s="23">
        <f>IF(AND(L454=1,J454="PY"),G454*(N454-M454)/N454,0)</f>
        <v/>
      </c>
      <c r="S454" s="21">
        <f>IF(COUNTA(A454:G454)=0,"",IF(OR(A454="",B454="",NOT(ISNUMBER(C454))),"Fill market, product and year",IF(COUNTIF(Control!$B$11:$B$13,B454)=0,"Unknown product",IF(COUNTIFS(Dat_A,A454,Dat_B,B454,Dat_C,C454)&gt;1,"Duplicate market/product/year",IF(OR(NOT(ISNUMBER(D454)),NOT(ISNUMBER(E454))),"Add launch date and Data through date",IF(E454&lt;D454,"Data through is before launch",IF(OR(NOT(ISNUMBER(F454)),NOT(ISNUMBER(G454))),"Add units and revenue","OK")))))))</f>
        <v/>
      </c>
    </row>
    <row r="455">
      <c r="A455" s="17" t="n"/>
      <c r="B455" s="17" t="n"/>
      <c r="C455" s="17" t="n"/>
      <c r="D455" s="18" t="n"/>
      <c r="E455" s="18" t="n"/>
      <c r="F455" s="19" t="n"/>
      <c r="G455" s="20" t="n"/>
      <c r="H455" s="21">
        <f>IF(AND(ISNUMBER(D455),ISNUMBER(E455)),E455-D455+1,"")</f>
        <v/>
      </c>
      <c r="I455" s="22">
        <f>IF(AND(ISNUMBER(F455),N(F455)&gt;0,ISNUMBER(G455)),G455/F455,"")</f>
        <v/>
      </c>
      <c r="J455" s="21">
        <f>IF(OR(A455="",B455=""),"",IF(C455=Yr_Cur,"CY",IF(C455=Yr_Prev,"PY","")))</f>
        <v/>
      </c>
      <c r="K455" s="21">
        <f>IF(J455="","",IF(J455="CY",SUMIFS(Dat_H,Dat_A,A455,Dat_B,B455,Dat_C,Yr_Prev),SUMIFS(Dat_H,Dat_A,A455,Dat_B,B455,Dat_C,Yr_Cur)))</f>
        <v/>
      </c>
      <c r="L455" s="21">
        <f>IF(J455="",0,IF(AND(ISNUMBER(H455),N(K455)&gt;0,ISNUMBER(F455),ISNUMBER(G455),OR(Sel_Market="All markets",A455=Sel_Market),COUNTIFS(Control!$B$11:$B$13,B455,Control!$C$11:$C$13,"Yes")&gt;0),1,0))</f>
        <v/>
      </c>
      <c r="M455" s="21">
        <f>IF(L455=1,IF(J455="CY",H455,K455),"")</f>
        <v/>
      </c>
      <c r="N455" s="21">
        <f>IF(L455=1,IF(J455="PY",H455,K455),"")</f>
        <v/>
      </c>
      <c r="O455" s="23">
        <f>IF(L455=1,IF(J455="PY",F455*M455/N455,F455),0)</f>
        <v/>
      </c>
      <c r="P455" s="23">
        <f>IF(L455=1,IF(J455="PY",G455*M455/N455,G455),0)</f>
        <v/>
      </c>
      <c r="Q455" s="23">
        <f>IF(AND(L455=1,J455="PY"),F455*(N455-M455)/N455,0)</f>
        <v/>
      </c>
      <c r="R455" s="23">
        <f>IF(AND(L455=1,J455="PY"),G455*(N455-M455)/N455,0)</f>
        <v/>
      </c>
      <c r="S455" s="21">
        <f>IF(COUNTA(A455:G455)=0,"",IF(OR(A455="",B455="",NOT(ISNUMBER(C455))),"Fill market, product and year",IF(COUNTIF(Control!$B$11:$B$13,B455)=0,"Unknown product",IF(COUNTIFS(Dat_A,A455,Dat_B,B455,Dat_C,C455)&gt;1,"Duplicate market/product/year",IF(OR(NOT(ISNUMBER(D455)),NOT(ISNUMBER(E455))),"Add launch date and Data through date",IF(E455&lt;D455,"Data through is before launch",IF(OR(NOT(ISNUMBER(F455)),NOT(ISNUMBER(G455))),"Add units and revenue","OK")))))))</f>
        <v/>
      </c>
    </row>
    <row r="456">
      <c r="A456" s="17" t="n"/>
      <c r="B456" s="17" t="n"/>
      <c r="C456" s="17" t="n"/>
      <c r="D456" s="18" t="n"/>
      <c r="E456" s="18" t="n"/>
      <c r="F456" s="19" t="n"/>
      <c r="G456" s="20" t="n"/>
      <c r="H456" s="21">
        <f>IF(AND(ISNUMBER(D456),ISNUMBER(E456)),E456-D456+1,"")</f>
        <v/>
      </c>
      <c r="I456" s="22">
        <f>IF(AND(ISNUMBER(F456),N(F456)&gt;0,ISNUMBER(G456)),G456/F456,"")</f>
        <v/>
      </c>
      <c r="J456" s="21">
        <f>IF(OR(A456="",B456=""),"",IF(C456=Yr_Cur,"CY",IF(C456=Yr_Prev,"PY","")))</f>
        <v/>
      </c>
      <c r="K456" s="21">
        <f>IF(J456="","",IF(J456="CY",SUMIFS(Dat_H,Dat_A,A456,Dat_B,B456,Dat_C,Yr_Prev),SUMIFS(Dat_H,Dat_A,A456,Dat_B,B456,Dat_C,Yr_Cur)))</f>
        <v/>
      </c>
      <c r="L456" s="21">
        <f>IF(J456="",0,IF(AND(ISNUMBER(H456),N(K456)&gt;0,ISNUMBER(F456),ISNUMBER(G456),OR(Sel_Market="All markets",A456=Sel_Market),COUNTIFS(Control!$B$11:$B$13,B456,Control!$C$11:$C$13,"Yes")&gt;0),1,0))</f>
        <v/>
      </c>
      <c r="M456" s="21">
        <f>IF(L456=1,IF(J456="CY",H456,K456),"")</f>
        <v/>
      </c>
      <c r="N456" s="21">
        <f>IF(L456=1,IF(J456="PY",H456,K456),"")</f>
        <v/>
      </c>
      <c r="O456" s="23">
        <f>IF(L456=1,IF(J456="PY",F456*M456/N456,F456),0)</f>
        <v/>
      </c>
      <c r="P456" s="23">
        <f>IF(L456=1,IF(J456="PY",G456*M456/N456,G456),0)</f>
        <v/>
      </c>
      <c r="Q456" s="23">
        <f>IF(AND(L456=1,J456="PY"),F456*(N456-M456)/N456,0)</f>
        <v/>
      </c>
      <c r="R456" s="23">
        <f>IF(AND(L456=1,J456="PY"),G456*(N456-M456)/N456,0)</f>
        <v/>
      </c>
      <c r="S456" s="21">
        <f>IF(COUNTA(A456:G456)=0,"",IF(OR(A456="",B456="",NOT(ISNUMBER(C456))),"Fill market, product and year",IF(COUNTIF(Control!$B$11:$B$13,B456)=0,"Unknown product",IF(COUNTIFS(Dat_A,A456,Dat_B,B456,Dat_C,C456)&gt;1,"Duplicate market/product/year",IF(OR(NOT(ISNUMBER(D456)),NOT(ISNUMBER(E456))),"Add launch date and Data through date",IF(E456&lt;D456,"Data through is before launch",IF(OR(NOT(ISNUMBER(F456)),NOT(ISNUMBER(G456))),"Add units and revenue","OK")))))))</f>
        <v/>
      </c>
    </row>
    <row r="457">
      <c r="A457" s="17" t="n"/>
      <c r="B457" s="17" t="n"/>
      <c r="C457" s="17" t="n"/>
      <c r="D457" s="18" t="n"/>
      <c r="E457" s="18" t="n"/>
      <c r="F457" s="19" t="n"/>
      <c r="G457" s="20" t="n"/>
      <c r="H457" s="21">
        <f>IF(AND(ISNUMBER(D457),ISNUMBER(E457)),E457-D457+1,"")</f>
        <v/>
      </c>
      <c r="I457" s="22">
        <f>IF(AND(ISNUMBER(F457),N(F457)&gt;0,ISNUMBER(G457)),G457/F457,"")</f>
        <v/>
      </c>
      <c r="J457" s="21">
        <f>IF(OR(A457="",B457=""),"",IF(C457=Yr_Cur,"CY",IF(C457=Yr_Prev,"PY","")))</f>
        <v/>
      </c>
      <c r="K457" s="21">
        <f>IF(J457="","",IF(J457="CY",SUMIFS(Dat_H,Dat_A,A457,Dat_B,B457,Dat_C,Yr_Prev),SUMIFS(Dat_H,Dat_A,A457,Dat_B,B457,Dat_C,Yr_Cur)))</f>
        <v/>
      </c>
      <c r="L457" s="21">
        <f>IF(J457="",0,IF(AND(ISNUMBER(H457),N(K457)&gt;0,ISNUMBER(F457),ISNUMBER(G457),OR(Sel_Market="All markets",A457=Sel_Market),COUNTIFS(Control!$B$11:$B$13,B457,Control!$C$11:$C$13,"Yes")&gt;0),1,0))</f>
        <v/>
      </c>
      <c r="M457" s="21">
        <f>IF(L457=1,IF(J457="CY",H457,K457),"")</f>
        <v/>
      </c>
      <c r="N457" s="21">
        <f>IF(L457=1,IF(J457="PY",H457,K457),"")</f>
        <v/>
      </c>
      <c r="O457" s="23">
        <f>IF(L457=1,IF(J457="PY",F457*M457/N457,F457),0)</f>
        <v/>
      </c>
      <c r="P457" s="23">
        <f>IF(L457=1,IF(J457="PY",G457*M457/N457,G457),0)</f>
        <v/>
      </c>
      <c r="Q457" s="23">
        <f>IF(AND(L457=1,J457="PY"),F457*(N457-M457)/N457,0)</f>
        <v/>
      </c>
      <c r="R457" s="23">
        <f>IF(AND(L457=1,J457="PY"),G457*(N457-M457)/N457,0)</f>
        <v/>
      </c>
      <c r="S457" s="21">
        <f>IF(COUNTA(A457:G457)=0,"",IF(OR(A457="",B457="",NOT(ISNUMBER(C457))),"Fill market, product and year",IF(COUNTIF(Control!$B$11:$B$13,B457)=0,"Unknown product",IF(COUNTIFS(Dat_A,A457,Dat_B,B457,Dat_C,C457)&gt;1,"Duplicate market/product/year",IF(OR(NOT(ISNUMBER(D457)),NOT(ISNUMBER(E457))),"Add launch date and Data through date",IF(E457&lt;D457,"Data through is before launch",IF(OR(NOT(ISNUMBER(F457)),NOT(ISNUMBER(G457))),"Add units and revenue","OK")))))))</f>
        <v/>
      </c>
    </row>
    <row r="458">
      <c r="A458" s="17" t="n"/>
      <c r="B458" s="17" t="n"/>
      <c r="C458" s="17" t="n"/>
      <c r="D458" s="18" t="n"/>
      <c r="E458" s="18" t="n"/>
      <c r="F458" s="19" t="n"/>
      <c r="G458" s="20" t="n"/>
      <c r="H458" s="21">
        <f>IF(AND(ISNUMBER(D458),ISNUMBER(E458)),E458-D458+1,"")</f>
        <v/>
      </c>
      <c r="I458" s="22">
        <f>IF(AND(ISNUMBER(F458),N(F458)&gt;0,ISNUMBER(G458)),G458/F458,"")</f>
        <v/>
      </c>
      <c r="J458" s="21">
        <f>IF(OR(A458="",B458=""),"",IF(C458=Yr_Cur,"CY",IF(C458=Yr_Prev,"PY","")))</f>
        <v/>
      </c>
      <c r="K458" s="21">
        <f>IF(J458="","",IF(J458="CY",SUMIFS(Dat_H,Dat_A,A458,Dat_B,B458,Dat_C,Yr_Prev),SUMIFS(Dat_H,Dat_A,A458,Dat_B,B458,Dat_C,Yr_Cur)))</f>
        <v/>
      </c>
      <c r="L458" s="21">
        <f>IF(J458="",0,IF(AND(ISNUMBER(H458),N(K458)&gt;0,ISNUMBER(F458),ISNUMBER(G458),OR(Sel_Market="All markets",A458=Sel_Market),COUNTIFS(Control!$B$11:$B$13,B458,Control!$C$11:$C$13,"Yes")&gt;0),1,0))</f>
        <v/>
      </c>
      <c r="M458" s="21">
        <f>IF(L458=1,IF(J458="CY",H458,K458),"")</f>
        <v/>
      </c>
      <c r="N458" s="21">
        <f>IF(L458=1,IF(J458="PY",H458,K458),"")</f>
        <v/>
      </c>
      <c r="O458" s="23">
        <f>IF(L458=1,IF(J458="PY",F458*M458/N458,F458),0)</f>
        <v/>
      </c>
      <c r="P458" s="23">
        <f>IF(L458=1,IF(J458="PY",G458*M458/N458,G458),0)</f>
        <v/>
      </c>
      <c r="Q458" s="23">
        <f>IF(AND(L458=1,J458="PY"),F458*(N458-M458)/N458,0)</f>
        <v/>
      </c>
      <c r="R458" s="23">
        <f>IF(AND(L458=1,J458="PY"),G458*(N458-M458)/N458,0)</f>
        <v/>
      </c>
      <c r="S458" s="21">
        <f>IF(COUNTA(A458:G458)=0,"",IF(OR(A458="",B458="",NOT(ISNUMBER(C458))),"Fill market, product and year",IF(COUNTIF(Control!$B$11:$B$13,B458)=0,"Unknown product",IF(COUNTIFS(Dat_A,A458,Dat_B,B458,Dat_C,C458)&gt;1,"Duplicate market/product/year",IF(OR(NOT(ISNUMBER(D458)),NOT(ISNUMBER(E458))),"Add launch date and Data through date",IF(E458&lt;D458,"Data through is before launch",IF(OR(NOT(ISNUMBER(F458)),NOT(ISNUMBER(G458))),"Add units and revenue","OK")))))))</f>
        <v/>
      </c>
    </row>
    <row r="459">
      <c r="A459" s="17" t="n"/>
      <c r="B459" s="17" t="n"/>
      <c r="C459" s="17" t="n"/>
      <c r="D459" s="18" t="n"/>
      <c r="E459" s="18" t="n"/>
      <c r="F459" s="19" t="n"/>
      <c r="G459" s="20" t="n"/>
      <c r="H459" s="21">
        <f>IF(AND(ISNUMBER(D459),ISNUMBER(E459)),E459-D459+1,"")</f>
        <v/>
      </c>
      <c r="I459" s="22">
        <f>IF(AND(ISNUMBER(F459),N(F459)&gt;0,ISNUMBER(G459)),G459/F459,"")</f>
        <v/>
      </c>
      <c r="J459" s="21">
        <f>IF(OR(A459="",B459=""),"",IF(C459=Yr_Cur,"CY",IF(C459=Yr_Prev,"PY","")))</f>
        <v/>
      </c>
      <c r="K459" s="21">
        <f>IF(J459="","",IF(J459="CY",SUMIFS(Dat_H,Dat_A,A459,Dat_B,B459,Dat_C,Yr_Prev),SUMIFS(Dat_H,Dat_A,A459,Dat_B,B459,Dat_C,Yr_Cur)))</f>
        <v/>
      </c>
      <c r="L459" s="21">
        <f>IF(J459="",0,IF(AND(ISNUMBER(H459),N(K459)&gt;0,ISNUMBER(F459),ISNUMBER(G459),OR(Sel_Market="All markets",A459=Sel_Market),COUNTIFS(Control!$B$11:$B$13,B459,Control!$C$11:$C$13,"Yes")&gt;0),1,0))</f>
        <v/>
      </c>
      <c r="M459" s="21">
        <f>IF(L459=1,IF(J459="CY",H459,K459),"")</f>
        <v/>
      </c>
      <c r="N459" s="21">
        <f>IF(L459=1,IF(J459="PY",H459,K459),"")</f>
        <v/>
      </c>
      <c r="O459" s="23">
        <f>IF(L459=1,IF(J459="PY",F459*M459/N459,F459),0)</f>
        <v/>
      </c>
      <c r="P459" s="23">
        <f>IF(L459=1,IF(J459="PY",G459*M459/N459,G459),0)</f>
        <v/>
      </c>
      <c r="Q459" s="23">
        <f>IF(AND(L459=1,J459="PY"),F459*(N459-M459)/N459,0)</f>
        <v/>
      </c>
      <c r="R459" s="23">
        <f>IF(AND(L459=1,J459="PY"),G459*(N459-M459)/N459,0)</f>
        <v/>
      </c>
      <c r="S459" s="21">
        <f>IF(COUNTA(A459:G459)=0,"",IF(OR(A459="",B459="",NOT(ISNUMBER(C459))),"Fill market, product and year",IF(COUNTIF(Control!$B$11:$B$13,B459)=0,"Unknown product",IF(COUNTIFS(Dat_A,A459,Dat_B,B459,Dat_C,C459)&gt;1,"Duplicate market/product/year",IF(OR(NOT(ISNUMBER(D459)),NOT(ISNUMBER(E459))),"Add launch date and Data through date",IF(E459&lt;D459,"Data through is before launch",IF(OR(NOT(ISNUMBER(F459)),NOT(ISNUMBER(G459))),"Add units and revenue","OK")))))))</f>
        <v/>
      </c>
    </row>
    <row r="460">
      <c r="A460" s="17" t="n"/>
      <c r="B460" s="17" t="n"/>
      <c r="C460" s="17" t="n"/>
      <c r="D460" s="18" t="n"/>
      <c r="E460" s="18" t="n"/>
      <c r="F460" s="19" t="n"/>
      <c r="G460" s="20" t="n"/>
      <c r="H460" s="21">
        <f>IF(AND(ISNUMBER(D460),ISNUMBER(E460)),E460-D460+1,"")</f>
        <v/>
      </c>
      <c r="I460" s="22">
        <f>IF(AND(ISNUMBER(F460),N(F460)&gt;0,ISNUMBER(G460)),G460/F460,"")</f>
        <v/>
      </c>
      <c r="J460" s="21">
        <f>IF(OR(A460="",B460=""),"",IF(C460=Yr_Cur,"CY",IF(C460=Yr_Prev,"PY","")))</f>
        <v/>
      </c>
      <c r="K460" s="21">
        <f>IF(J460="","",IF(J460="CY",SUMIFS(Dat_H,Dat_A,A460,Dat_B,B460,Dat_C,Yr_Prev),SUMIFS(Dat_H,Dat_A,A460,Dat_B,B460,Dat_C,Yr_Cur)))</f>
        <v/>
      </c>
      <c r="L460" s="21">
        <f>IF(J460="",0,IF(AND(ISNUMBER(H460),N(K460)&gt;0,ISNUMBER(F460),ISNUMBER(G460),OR(Sel_Market="All markets",A460=Sel_Market),COUNTIFS(Control!$B$11:$B$13,B460,Control!$C$11:$C$13,"Yes")&gt;0),1,0))</f>
        <v/>
      </c>
      <c r="M460" s="21">
        <f>IF(L460=1,IF(J460="CY",H460,K460),"")</f>
        <v/>
      </c>
      <c r="N460" s="21">
        <f>IF(L460=1,IF(J460="PY",H460,K460),"")</f>
        <v/>
      </c>
      <c r="O460" s="23">
        <f>IF(L460=1,IF(J460="PY",F460*M460/N460,F460),0)</f>
        <v/>
      </c>
      <c r="P460" s="23">
        <f>IF(L460=1,IF(J460="PY",G460*M460/N460,G460),0)</f>
        <v/>
      </c>
      <c r="Q460" s="23">
        <f>IF(AND(L460=1,J460="PY"),F460*(N460-M460)/N460,0)</f>
        <v/>
      </c>
      <c r="R460" s="23">
        <f>IF(AND(L460=1,J460="PY"),G460*(N460-M460)/N460,0)</f>
        <v/>
      </c>
      <c r="S460" s="21">
        <f>IF(COUNTA(A460:G460)=0,"",IF(OR(A460="",B460="",NOT(ISNUMBER(C460))),"Fill market, product and year",IF(COUNTIF(Control!$B$11:$B$13,B460)=0,"Unknown product",IF(COUNTIFS(Dat_A,A460,Dat_B,B460,Dat_C,C460)&gt;1,"Duplicate market/product/year",IF(OR(NOT(ISNUMBER(D460)),NOT(ISNUMBER(E460))),"Add launch date and Data through date",IF(E460&lt;D460,"Data through is before launch",IF(OR(NOT(ISNUMBER(F460)),NOT(ISNUMBER(G460))),"Add units and revenue","OK")))))))</f>
        <v/>
      </c>
    </row>
    <row r="461">
      <c r="A461" s="17" t="n"/>
      <c r="B461" s="17" t="n"/>
      <c r="C461" s="17" t="n"/>
      <c r="D461" s="18" t="n"/>
      <c r="E461" s="18" t="n"/>
      <c r="F461" s="19" t="n"/>
      <c r="G461" s="20" t="n"/>
      <c r="H461" s="21">
        <f>IF(AND(ISNUMBER(D461),ISNUMBER(E461)),E461-D461+1,"")</f>
        <v/>
      </c>
      <c r="I461" s="22">
        <f>IF(AND(ISNUMBER(F461),N(F461)&gt;0,ISNUMBER(G461)),G461/F461,"")</f>
        <v/>
      </c>
      <c r="J461" s="21">
        <f>IF(OR(A461="",B461=""),"",IF(C461=Yr_Cur,"CY",IF(C461=Yr_Prev,"PY","")))</f>
        <v/>
      </c>
      <c r="K461" s="21">
        <f>IF(J461="","",IF(J461="CY",SUMIFS(Dat_H,Dat_A,A461,Dat_B,B461,Dat_C,Yr_Prev),SUMIFS(Dat_H,Dat_A,A461,Dat_B,B461,Dat_C,Yr_Cur)))</f>
        <v/>
      </c>
      <c r="L461" s="21">
        <f>IF(J461="",0,IF(AND(ISNUMBER(H461),N(K461)&gt;0,ISNUMBER(F461),ISNUMBER(G461),OR(Sel_Market="All markets",A461=Sel_Market),COUNTIFS(Control!$B$11:$B$13,B461,Control!$C$11:$C$13,"Yes")&gt;0),1,0))</f>
        <v/>
      </c>
      <c r="M461" s="21">
        <f>IF(L461=1,IF(J461="CY",H461,K461),"")</f>
        <v/>
      </c>
      <c r="N461" s="21">
        <f>IF(L461=1,IF(J461="PY",H461,K461),"")</f>
        <v/>
      </c>
      <c r="O461" s="23">
        <f>IF(L461=1,IF(J461="PY",F461*M461/N461,F461),0)</f>
        <v/>
      </c>
      <c r="P461" s="23">
        <f>IF(L461=1,IF(J461="PY",G461*M461/N461,G461),0)</f>
        <v/>
      </c>
      <c r="Q461" s="23">
        <f>IF(AND(L461=1,J461="PY"),F461*(N461-M461)/N461,0)</f>
        <v/>
      </c>
      <c r="R461" s="23">
        <f>IF(AND(L461=1,J461="PY"),G461*(N461-M461)/N461,0)</f>
        <v/>
      </c>
      <c r="S461" s="21">
        <f>IF(COUNTA(A461:G461)=0,"",IF(OR(A461="",B461="",NOT(ISNUMBER(C461))),"Fill market, product and year",IF(COUNTIF(Control!$B$11:$B$13,B461)=0,"Unknown product",IF(COUNTIFS(Dat_A,A461,Dat_B,B461,Dat_C,C461)&gt;1,"Duplicate market/product/year",IF(OR(NOT(ISNUMBER(D461)),NOT(ISNUMBER(E461))),"Add launch date and Data through date",IF(E461&lt;D461,"Data through is before launch",IF(OR(NOT(ISNUMBER(F461)),NOT(ISNUMBER(G461))),"Add units and revenue","OK")))))))</f>
        <v/>
      </c>
    </row>
    <row r="462">
      <c r="A462" s="17" t="n"/>
      <c r="B462" s="17" t="n"/>
      <c r="C462" s="17" t="n"/>
      <c r="D462" s="18" t="n"/>
      <c r="E462" s="18" t="n"/>
      <c r="F462" s="19" t="n"/>
      <c r="G462" s="20" t="n"/>
      <c r="H462" s="21">
        <f>IF(AND(ISNUMBER(D462),ISNUMBER(E462)),E462-D462+1,"")</f>
        <v/>
      </c>
      <c r="I462" s="22">
        <f>IF(AND(ISNUMBER(F462),N(F462)&gt;0,ISNUMBER(G462)),G462/F462,"")</f>
        <v/>
      </c>
      <c r="J462" s="21">
        <f>IF(OR(A462="",B462=""),"",IF(C462=Yr_Cur,"CY",IF(C462=Yr_Prev,"PY","")))</f>
        <v/>
      </c>
      <c r="K462" s="21">
        <f>IF(J462="","",IF(J462="CY",SUMIFS(Dat_H,Dat_A,A462,Dat_B,B462,Dat_C,Yr_Prev),SUMIFS(Dat_H,Dat_A,A462,Dat_B,B462,Dat_C,Yr_Cur)))</f>
        <v/>
      </c>
      <c r="L462" s="21">
        <f>IF(J462="",0,IF(AND(ISNUMBER(H462),N(K462)&gt;0,ISNUMBER(F462),ISNUMBER(G462),OR(Sel_Market="All markets",A462=Sel_Market),COUNTIFS(Control!$B$11:$B$13,B462,Control!$C$11:$C$13,"Yes")&gt;0),1,0))</f>
        <v/>
      </c>
      <c r="M462" s="21">
        <f>IF(L462=1,IF(J462="CY",H462,K462),"")</f>
        <v/>
      </c>
      <c r="N462" s="21">
        <f>IF(L462=1,IF(J462="PY",H462,K462),"")</f>
        <v/>
      </c>
      <c r="O462" s="23">
        <f>IF(L462=1,IF(J462="PY",F462*M462/N462,F462),0)</f>
        <v/>
      </c>
      <c r="P462" s="23">
        <f>IF(L462=1,IF(J462="PY",G462*M462/N462,G462),0)</f>
        <v/>
      </c>
      <c r="Q462" s="23">
        <f>IF(AND(L462=1,J462="PY"),F462*(N462-M462)/N462,0)</f>
        <v/>
      </c>
      <c r="R462" s="23">
        <f>IF(AND(L462=1,J462="PY"),G462*(N462-M462)/N462,0)</f>
        <v/>
      </c>
      <c r="S462" s="21">
        <f>IF(COUNTA(A462:G462)=0,"",IF(OR(A462="",B462="",NOT(ISNUMBER(C462))),"Fill market, product and year",IF(COUNTIF(Control!$B$11:$B$13,B462)=0,"Unknown product",IF(COUNTIFS(Dat_A,A462,Dat_B,B462,Dat_C,C462)&gt;1,"Duplicate market/product/year",IF(OR(NOT(ISNUMBER(D462)),NOT(ISNUMBER(E462))),"Add launch date and Data through date",IF(E462&lt;D462,"Data through is before launch",IF(OR(NOT(ISNUMBER(F462)),NOT(ISNUMBER(G462))),"Add units and revenue","OK")))))))</f>
        <v/>
      </c>
    </row>
    <row r="463">
      <c r="A463" s="17" t="n"/>
      <c r="B463" s="17" t="n"/>
      <c r="C463" s="17" t="n"/>
      <c r="D463" s="18" t="n"/>
      <c r="E463" s="18" t="n"/>
      <c r="F463" s="19" t="n"/>
      <c r="G463" s="20" t="n"/>
      <c r="H463" s="21">
        <f>IF(AND(ISNUMBER(D463),ISNUMBER(E463)),E463-D463+1,"")</f>
        <v/>
      </c>
      <c r="I463" s="22">
        <f>IF(AND(ISNUMBER(F463),N(F463)&gt;0,ISNUMBER(G463)),G463/F463,"")</f>
        <v/>
      </c>
      <c r="J463" s="21">
        <f>IF(OR(A463="",B463=""),"",IF(C463=Yr_Cur,"CY",IF(C463=Yr_Prev,"PY","")))</f>
        <v/>
      </c>
      <c r="K463" s="21">
        <f>IF(J463="","",IF(J463="CY",SUMIFS(Dat_H,Dat_A,A463,Dat_B,B463,Dat_C,Yr_Prev),SUMIFS(Dat_H,Dat_A,A463,Dat_B,B463,Dat_C,Yr_Cur)))</f>
        <v/>
      </c>
      <c r="L463" s="21">
        <f>IF(J463="",0,IF(AND(ISNUMBER(H463),N(K463)&gt;0,ISNUMBER(F463),ISNUMBER(G463),OR(Sel_Market="All markets",A463=Sel_Market),COUNTIFS(Control!$B$11:$B$13,B463,Control!$C$11:$C$13,"Yes")&gt;0),1,0))</f>
        <v/>
      </c>
      <c r="M463" s="21">
        <f>IF(L463=1,IF(J463="CY",H463,K463),"")</f>
        <v/>
      </c>
      <c r="N463" s="21">
        <f>IF(L463=1,IF(J463="PY",H463,K463),"")</f>
        <v/>
      </c>
      <c r="O463" s="23">
        <f>IF(L463=1,IF(J463="PY",F463*M463/N463,F463),0)</f>
        <v/>
      </c>
      <c r="P463" s="23">
        <f>IF(L463=1,IF(J463="PY",G463*M463/N463,G463),0)</f>
        <v/>
      </c>
      <c r="Q463" s="23">
        <f>IF(AND(L463=1,J463="PY"),F463*(N463-M463)/N463,0)</f>
        <v/>
      </c>
      <c r="R463" s="23">
        <f>IF(AND(L463=1,J463="PY"),G463*(N463-M463)/N463,0)</f>
        <v/>
      </c>
      <c r="S463" s="21">
        <f>IF(COUNTA(A463:G463)=0,"",IF(OR(A463="",B463="",NOT(ISNUMBER(C463))),"Fill market, product and year",IF(COUNTIF(Control!$B$11:$B$13,B463)=0,"Unknown product",IF(COUNTIFS(Dat_A,A463,Dat_B,B463,Dat_C,C463)&gt;1,"Duplicate market/product/year",IF(OR(NOT(ISNUMBER(D463)),NOT(ISNUMBER(E463))),"Add launch date and Data through date",IF(E463&lt;D463,"Data through is before launch",IF(OR(NOT(ISNUMBER(F463)),NOT(ISNUMBER(G463))),"Add units and revenue","OK")))))))</f>
        <v/>
      </c>
    </row>
    <row r="464">
      <c r="A464" s="17" t="n"/>
      <c r="B464" s="17" t="n"/>
      <c r="C464" s="17" t="n"/>
      <c r="D464" s="18" t="n"/>
      <c r="E464" s="18" t="n"/>
      <c r="F464" s="19" t="n"/>
      <c r="G464" s="20" t="n"/>
      <c r="H464" s="21">
        <f>IF(AND(ISNUMBER(D464),ISNUMBER(E464)),E464-D464+1,"")</f>
        <v/>
      </c>
      <c r="I464" s="22">
        <f>IF(AND(ISNUMBER(F464),N(F464)&gt;0,ISNUMBER(G464)),G464/F464,"")</f>
        <v/>
      </c>
      <c r="J464" s="21">
        <f>IF(OR(A464="",B464=""),"",IF(C464=Yr_Cur,"CY",IF(C464=Yr_Prev,"PY","")))</f>
        <v/>
      </c>
      <c r="K464" s="21">
        <f>IF(J464="","",IF(J464="CY",SUMIFS(Dat_H,Dat_A,A464,Dat_B,B464,Dat_C,Yr_Prev),SUMIFS(Dat_H,Dat_A,A464,Dat_B,B464,Dat_C,Yr_Cur)))</f>
        <v/>
      </c>
      <c r="L464" s="21">
        <f>IF(J464="",0,IF(AND(ISNUMBER(H464),N(K464)&gt;0,ISNUMBER(F464),ISNUMBER(G464),OR(Sel_Market="All markets",A464=Sel_Market),COUNTIFS(Control!$B$11:$B$13,B464,Control!$C$11:$C$13,"Yes")&gt;0),1,0))</f>
        <v/>
      </c>
      <c r="M464" s="21">
        <f>IF(L464=1,IF(J464="CY",H464,K464),"")</f>
        <v/>
      </c>
      <c r="N464" s="21">
        <f>IF(L464=1,IF(J464="PY",H464,K464),"")</f>
        <v/>
      </c>
      <c r="O464" s="23">
        <f>IF(L464=1,IF(J464="PY",F464*M464/N464,F464),0)</f>
        <v/>
      </c>
      <c r="P464" s="23">
        <f>IF(L464=1,IF(J464="PY",G464*M464/N464,G464),0)</f>
        <v/>
      </c>
      <c r="Q464" s="23">
        <f>IF(AND(L464=1,J464="PY"),F464*(N464-M464)/N464,0)</f>
        <v/>
      </c>
      <c r="R464" s="23">
        <f>IF(AND(L464=1,J464="PY"),G464*(N464-M464)/N464,0)</f>
        <v/>
      </c>
      <c r="S464" s="21">
        <f>IF(COUNTA(A464:G464)=0,"",IF(OR(A464="",B464="",NOT(ISNUMBER(C464))),"Fill market, product and year",IF(COUNTIF(Control!$B$11:$B$13,B464)=0,"Unknown product",IF(COUNTIFS(Dat_A,A464,Dat_B,B464,Dat_C,C464)&gt;1,"Duplicate market/product/year",IF(OR(NOT(ISNUMBER(D464)),NOT(ISNUMBER(E464))),"Add launch date and Data through date",IF(E464&lt;D464,"Data through is before launch",IF(OR(NOT(ISNUMBER(F464)),NOT(ISNUMBER(G464))),"Add units and revenue","OK")))))))</f>
        <v/>
      </c>
    </row>
    <row r="465">
      <c r="A465" s="17" t="n"/>
      <c r="B465" s="17" t="n"/>
      <c r="C465" s="17" t="n"/>
      <c r="D465" s="18" t="n"/>
      <c r="E465" s="18" t="n"/>
      <c r="F465" s="19" t="n"/>
      <c r="G465" s="20" t="n"/>
      <c r="H465" s="21">
        <f>IF(AND(ISNUMBER(D465),ISNUMBER(E465)),E465-D465+1,"")</f>
        <v/>
      </c>
      <c r="I465" s="22">
        <f>IF(AND(ISNUMBER(F465),N(F465)&gt;0,ISNUMBER(G465)),G465/F465,"")</f>
        <v/>
      </c>
      <c r="J465" s="21">
        <f>IF(OR(A465="",B465=""),"",IF(C465=Yr_Cur,"CY",IF(C465=Yr_Prev,"PY","")))</f>
        <v/>
      </c>
      <c r="K465" s="21">
        <f>IF(J465="","",IF(J465="CY",SUMIFS(Dat_H,Dat_A,A465,Dat_B,B465,Dat_C,Yr_Prev),SUMIFS(Dat_H,Dat_A,A465,Dat_B,B465,Dat_C,Yr_Cur)))</f>
        <v/>
      </c>
      <c r="L465" s="21">
        <f>IF(J465="",0,IF(AND(ISNUMBER(H465),N(K465)&gt;0,ISNUMBER(F465),ISNUMBER(G465),OR(Sel_Market="All markets",A465=Sel_Market),COUNTIFS(Control!$B$11:$B$13,B465,Control!$C$11:$C$13,"Yes")&gt;0),1,0))</f>
        <v/>
      </c>
      <c r="M465" s="21">
        <f>IF(L465=1,IF(J465="CY",H465,K465),"")</f>
        <v/>
      </c>
      <c r="N465" s="21">
        <f>IF(L465=1,IF(J465="PY",H465,K465),"")</f>
        <v/>
      </c>
      <c r="O465" s="23">
        <f>IF(L465=1,IF(J465="PY",F465*M465/N465,F465),0)</f>
        <v/>
      </c>
      <c r="P465" s="23">
        <f>IF(L465=1,IF(J465="PY",G465*M465/N465,G465),0)</f>
        <v/>
      </c>
      <c r="Q465" s="23">
        <f>IF(AND(L465=1,J465="PY"),F465*(N465-M465)/N465,0)</f>
        <v/>
      </c>
      <c r="R465" s="23">
        <f>IF(AND(L465=1,J465="PY"),G465*(N465-M465)/N465,0)</f>
        <v/>
      </c>
      <c r="S465" s="21">
        <f>IF(COUNTA(A465:G465)=0,"",IF(OR(A465="",B465="",NOT(ISNUMBER(C465))),"Fill market, product and year",IF(COUNTIF(Control!$B$11:$B$13,B465)=0,"Unknown product",IF(COUNTIFS(Dat_A,A465,Dat_B,B465,Dat_C,C465)&gt;1,"Duplicate market/product/year",IF(OR(NOT(ISNUMBER(D465)),NOT(ISNUMBER(E465))),"Add launch date and Data through date",IF(E465&lt;D465,"Data through is before launch",IF(OR(NOT(ISNUMBER(F465)),NOT(ISNUMBER(G465))),"Add units and revenue","OK")))))))</f>
        <v/>
      </c>
    </row>
    <row r="466">
      <c r="A466" s="17" t="n"/>
      <c r="B466" s="17" t="n"/>
      <c r="C466" s="17" t="n"/>
      <c r="D466" s="18" t="n"/>
      <c r="E466" s="18" t="n"/>
      <c r="F466" s="19" t="n"/>
      <c r="G466" s="20" t="n"/>
      <c r="H466" s="21">
        <f>IF(AND(ISNUMBER(D466),ISNUMBER(E466)),E466-D466+1,"")</f>
        <v/>
      </c>
      <c r="I466" s="22">
        <f>IF(AND(ISNUMBER(F466),N(F466)&gt;0,ISNUMBER(G466)),G466/F466,"")</f>
        <v/>
      </c>
      <c r="J466" s="21">
        <f>IF(OR(A466="",B466=""),"",IF(C466=Yr_Cur,"CY",IF(C466=Yr_Prev,"PY","")))</f>
        <v/>
      </c>
      <c r="K466" s="21">
        <f>IF(J466="","",IF(J466="CY",SUMIFS(Dat_H,Dat_A,A466,Dat_B,B466,Dat_C,Yr_Prev),SUMIFS(Dat_H,Dat_A,A466,Dat_B,B466,Dat_C,Yr_Cur)))</f>
        <v/>
      </c>
      <c r="L466" s="21">
        <f>IF(J466="",0,IF(AND(ISNUMBER(H466),N(K466)&gt;0,ISNUMBER(F466),ISNUMBER(G466),OR(Sel_Market="All markets",A466=Sel_Market),COUNTIFS(Control!$B$11:$B$13,B466,Control!$C$11:$C$13,"Yes")&gt;0),1,0))</f>
        <v/>
      </c>
      <c r="M466" s="21">
        <f>IF(L466=1,IF(J466="CY",H466,K466),"")</f>
        <v/>
      </c>
      <c r="N466" s="21">
        <f>IF(L466=1,IF(J466="PY",H466,K466),"")</f>
        <v/>
      </c>
      <c r="O466" s="23">
        <f>IF(L466=1,IF(J466="PY",F466*M466/N466,F466),0)</f>
        <v/>
      </c>
      <c r="P466" s="23">
        <f>IF(L466=1,IF(J466="PY",G466*M466/N466,G466),0)</f>
        <v/>
      </c>
      <c r="Q466" s="23">
        <f>IF(AND(L466=1,J466="PY"),F466*(N466-M466)/N466,0)</f>
        <v/>
      </c>
      <c r="R466" s="23">
        <f>IF(AND(L466=1,J466="PY"),G466*(N466-M466)/N466,0)</f>
        <v/>
      </c>
      <c r="S466" s="21">
        <f>IF(COUNTA(A466:G466)=0,"",IF(OR(A466="",B466="",NOT(ISNUMBER(C466))),"Fill market, product and year",IF(COUNTIF(Control!$B$11:$B$13,B466)=0,"Unknown product",IF(COUNTIFS(Dat_A,A466,Dat_B,B466,Dat_C,C466)&gt;1,"Duplicate market/product/year",IF(OR(NOT(ISNUMBER(D466)),NOT(ISNUMBER(E466))),"Add launch date and Data through date",IF(E466&lt;D466,"Data through is before launch",IF(OR(NOT(ISNUMBER(F466)),NOT(ISNUMBER(G466))),"Add units and revenue","OK")))))))</f>
        <v/>
      </c>
    </row>
    <row r="467">
      <c r="A467" s="17" t="n"/>
      <c r="B467" s="17" t="n"/>
      <c r="C467" s="17" t="n"/>
      <c r="D467" s="18" t="n"/>
      <c r="E467" s="18" t="n"/>
      <c r="F467" s="19" t="n"/>
      <c r="G467" s="20" t="n"/>
      <c r="H467" s="21">
        <f>IF(AND(ISNUMBER(D467),ISNUMBER(E467)),E467-D467+1,"")</f>
        <v/>
      </c>
      <c r="I467" s="22">
        <f>IF(AND(ISNUMBER(F467),N(F467)&gt;0,ISNUMBER(G467)),G467/F467,"")</f>
        <v/>
      </c>
      <c r="J467" s="21">
        <f>IF(OR(A467="",B467=""),"",IF(C467=Yr_Cur,"CY",IF(C467=Yr_Prev,"PY","")))</f>
        <v/>
      </c>
      <c r="K467" s="21">
        <f>IF(J467="","",IF(J467="CY",SUMIFS(Dat_H,Dat_A,A467,Dat_B,B467,Dat_C,Yr_Prev),SUMIFS(Dat_H,Dat_A,A467,Dat_B,B467,Dat_C,Yr_Cur)))</f>
        <v/>
      </c>
      <c r="L467" s="21">
        <f>IF(J467="",0,IF(AND(ISNUMBER(H467),N(K467)&gt;0,ISNUMBER(F467),ISNUMBER(G467),OR(Sel_Market="All markets",A467=Sel_Market),COUNTIFS(Control!$B$11:$B$13,B467,Control!$C$11:$C$13,"Yes")&gt;0),1,0))</f>
        <v/>
      </c>
      <c r="M467" s="21">
        <f>IF(L467=1,IF(J467="CY",H467,K467),"")</f>
        <v/>
      </c>
      <c r="N467" s="21">
        <f>IF(L467=1,IF(J467="PY",H467,K467),"")</f>
        <v/>
      </c>
      <c r="O467" s="23">
        <f>IF(L467=1,IF(J467="PY",F467*M467/N467,F467),0)</f>
        <v/>
      </c>
      <c r="P467" s="23">
        <f>IF(L467=1,IF(J467="PY",G467*M467/N467,G467),0)</f>
        <v/>
      </c>
      <c r="Q467" s="23">
        <f>IF(AND(L467=1,J467="PY"),F467*(N467-M467)/N467,0)</f>
        <v/>
      </c>
      <c r="R467" s="23">
        <f>IF(AND(L467=1,J467="PY"),G467*(N467-M467)/N467,0)</f>
        <v/>
      </c>
      <c r="S467" s="21">
        <f>IF(COUNTA(A467:G467)=0,"",IF(OR(A467="",B467="",NOT(ISNUMBER(C467))),"Fill market, product and year",IF(COUNTIF(Control!$B$11:$B$13,B467)=0,"Unknown product",IF(COUNTIFS(Dat_A,A467,Dat_B,B467,Dat_C,C467)&gt;1,"Duplicate market/product/year",IF(OR(NOT(ISNUMBER(D467)),NOT(ISNUMBER(E467))),"Add launch date and Data through date",IF(E467&lt;D467,"Data through is before launch",IF(OR(NOT(ISNUMBER(F467)),NOT(ISNUMBER(G467))),"Add units and revenue","OK")))))))</f>
        <v/>
      </c>
    </row>
    <row r="468">
      <c r="A468" s="17" t="n"/>
      <c r="B468" s="17" t="n"/>
      <c r="C468" s="17" t="n"/>
      <c r="D468" s="18" t="n"/>
      <c r="E468" s="18" t="n"/>
      <c r="F468" s="19" t="n"/>
      <c r="G468" s="20" t="n"/>
      <c r="H468" s="21">
        <f>IF(AND(ISNUMBER(D468),ISNUMBER(E468)),E468-D468+1,"")</f>
        <v/>
      </c>
      <c r="I468" s="22">
        <f>IF(AND(ISNUMBER(F468),N(F468)&gt;0,ISNUMBER(G468)),G468/F468,"")</f>
        <v/>
      </c>
      <c r="J468" s="21">
        <f>IF(OR(A468="",B468=""),"",IF(C468=Yr_Cur,"CY",IF(C468=Yr_Prev,"PY","")))</f>
        <v/>
      </c>
      <c r="K468" s="21">
        <f>IF(J468="","",IF(J468="CY",SUMIFS(Dat_H,Dat_A,A468,Dat_B,B468,Dat_C,Yr_Prev),SUMIFS(Dat_H,Dat_A,A468,Dat_B,B468,Dat_C,Yr_Cur)))</f>
        <v/>
      </c>
      <c r="L468" s="21">
        <f>IF(J468="",0,IF(AND(ISNUMBER(H468),N(K468)&gt;0,ISNUMBER(F468),ISNUMBER(G468),OR(Sel_Market="All markets",A468=Sel_Market),COUNTIFS(Control!$B$11:$B$13,B468,Control!$C$11:$C$13,"Yes")&gt;0),1,0))</f>
        <v/>
      </c>
      <c r="M468" s="21">
        <f>IF(L468=1,IF(J468="CY",H468,K468),"")</f>
        <v/>
      </c>
      <c r="N468" s="21">
        <f>IF(L468=1,IF(J468="PY",H468,K468),"")</f>
        <v/>
      </c>
      <c r="O468" s="23">
        <f>IF(L468=1,IF(J468="PY",F468*M468/N468,F468),0)</f>
        <v/>
      </c>
      <c r="P468" s="23">
        <f>IF(L468=1,IF(J468="PY",G468*M468/N468,G468),0)</f>
        <v/>
      </c>
      <c r="Q468" s="23">
        <f>IF(AND(L468=1,J468="PY"),F468*(N468-M468)/N468,0)</f>
        <v/>
      </c>
      <c r="R468" s="23">
        <f>IF(AND(L468=1,J468="PY"),G468*(N468-M468)/N468,0)</f>
        <v/>
      </c>
      <c r="S468" s="21">
        <f>IF(COUNTA(A468:G468)=0,"",IF(OR(A468="",B468="",NOT(ISNUMBER(C468))),"Fill market, product and year",IF(COUNTIF(Control!$B$11:$B$13,B468)=0,"Unknown product",IF(COUNTIFS(Dat_A,A468,Dat_B,B468,Dat_C,C468)&gt;1,"Duplicate market/product/year",IF(OR(NOT(ISNUMBER(D468)),NOT(ISNUMBER(E468))),"Add launch date and Data through date",IF(E468&lt;D468,"Data through is before launch",IF(OR(NOT(ISNUMBER(F468)),NOT(ISNUMBER(G468))),"Add units and revenue","OK")))))))</f>
        <v/>
      </c>
    </row>
    <row r="469">
      <c r="A469" s="17" t="n"/>
      <c r="B469" s="17" t="n"/>
      <c r="C469" s="17" t="n"/>
      <c r="D469" s="18" t="n"/>
      <c r="E469" s="18" t="n"/>
      <c r="F469" s="19" t="n"/>
      <c r="G469" s="20" t="n"/>
      <c r="H469" s="21">
        <f>IF(AND(ISNUMBER(D469),ISNUMBER(E469)),E469-D469+1,"")</f>
        <v/>
      </c>
      <c r="I469" s="22">
        <f>IF(AND(ISNUMBER(F469),N(F469)&gt;0,ISNUMBER(G469)),G469/F469,"")</f>
        <v/>
      </c>
      <c r="J469" s="21">
        <f>IF(OR(A469="",B469=""),"",IF(C469=Yr_Cur,"CY",IF(C469=Yr_Prev,"PY","")))</f>
        <v/>
      </c>
      <c r="K469" s="21">
        <f>IF(J469="","",IF(J469="CY",SUMIFS(Dat_H,Dat_A,A469,Dat_B,B469,Dat_C,Yr_Prev),SUMIFS(Dat_H,Dat_A,A469,Dat_B,B469,Dat_C,Yr_Cur)))</f>
        <v/>
      </c>
      <c r="L469" s="21">
        <f>IF(J469="",0,IF(AND(ISNUMBER(H469),N(K469)&gt;0,ISNUMBER(F469),ISNUMBER(G469),OR(Sel_Market="All markets",A469=Sel_Market),COUNTIFS(Control!$B$11:$B$13,B469,Control!$C$11:$C$13,"Yes")&gt;0),1,0))</f>
        <v/>
      </c>
      <c r="M469" s="21">
        <f>IF(L469=1,IF(J469="CY",H469,K469),"")</f>
        <v/>
      </c>
      <c r="N469" s="21">
        <f>IF(L469=1,IF(J469="PY",H469,K469),"")</f>
        <v/>
      </c>
      <c r="O469" s="23">
        <f>IF(L469=1,IF(J469="PY",F469*M469/N469,F469),0)</f>
        <v/>
      </c>
      <c r="P469" s="23">
        <f>IF(L469=1,IF(J469="PY",G469*M469/N469,G469),0)</f>
        <v/>
      </c>
      <c r="Q469" s="23">
        <f>IF(AND(L469=1,J469="PY"),F469*(N469-M469)/N469,0)</f>
        <v/>
      </c>
      <c r="R469" s="23">
        <f>IF(AND(L469=1,J469="PY"),G469*(N469-M469)/N469,0)</f>
        <v/>
      </c>
      <c r="S469" s="21">
        <f>IF(COUNTA(A469:G469)=0,"",IF(OR(A469="",B469="",NOT(ISNUMBER(C469))),"Fill market, product and year",IF(COUNTIF(Control!$B$11:$B$13,B469)=0,"Unknown product",IF(COUNTIFS(Dat_A,A469,Dat_B,B469,Dat_C,C469)&gt;1,"Duplicate market/product/year",IF(OR(NOT(ISNUMBER(D469)),NOT(ISNUMBER(E469))),"Add launch date and Data through date",IF(E469&lt;D469,"Data through is before launch",IF(OR(NOT(ISNUMBER(F469)),NOT(ISNUMBER(G469))),"Add units and revenue","OK")))))))</f>
        <v/>
      </c>
    </row>
    <row r="470">
      <c r="A470" s="17" t="n"/>
      <c r="B470" s="17" t="n"/>
      <c r="C470" s="17" t="n"/>
      <c r="D470" s="18" t="n"/>
      <c r="E470" s="18" t="n"/>
      <c r="F470" s="19" t="n"/>
      <c r="G470" s="20" t="n"/>
      <c r="H470" s="21">
        <f>IF(AND(ISNUMBER(D470),ISNUMBER(E470)),E470-D470+1,"")</f>
        <v/>
      </c>
      <c r="I470" s="22">
        <f>IF(AND(ISNUMBER(F470),N(F470)&gt;0,ISNUMBER(G470)),G470/F470,"")</f>
        <v/>
      </c>
      <c r="J470" s="21">
        <f>IF(OR(A470="",B470=""),"",IF(C470=Yr_Cur,"CY",IF(C470=Yr_Prev,"PY","")))</f>
        <v/>
      </c>
      <c r="K470" s="21">
        <f>IF(J470="","",IF(J470="CY",SUMIFS(Dat_H,Dat_A,A470,Dat_B,B470,Dat_C,Yr_Prev),SUMIFS(Dat_H,Dat_A,A470,Dat_B,B470,Dat_C,Yr_Cur)))</f>
        <v/>
      </c>
      <c r="L470" s="21">
        <f>IF(J470="",0,IF(AND(ISNUMBER(H470),N(K470)&gt;0,ISNUMBER(F470),ISNUMBER(G470),OR(Sel_Market="All markets",A470=Sel_Market),COUNTIFS(Control!$B$11:$B$13,B470,Control!$C$11:$C$13,"Yes")&gt;0),1,0))</f>
        <v/>
      </c>
      <c r="M470" s="21">
        <f>IF(L470=1,IF(J470="CY",H470,K470),"")</f>
        <v/>
      </c>
      <c r="N470" s="21">
        <f>IF(L470=1,IF(J470="PY",H470,K470),"")</f>
        <v/>
      </c>
      <c r="O470" s="23">
        <f>IF(L470=1,IF(J470="PY",F470*M470/N470,F470),0)</f>
        <v/>
      </c>
      <c r="P470" s="23">
        <f>IF(L470=1,IF(J470="PY",G470*M470/N470,G470),0)</f>
        <v/>
      </c>
      <c r="Q470" s="23">
        <f>IF(AND(L470=1,J470="PY"),F470*(N470-M470)/N470,0)</f>
        <v/>
      </c>
      <c r="R470" s="23">
        <f>IF(AND(L470=1,J470="PY"),G470*(N470-M470)/N470,0)</f>
        <v/>
      </c>
      <c r="S470" s="21">
        <f>IF(COUNTA(A470:G470)=0,"",IF(OR(A470="",B470="",NOT(ISNUMBER(C470))),"Fill market, product and year",IF(COUNTIF(Control!$B$11:$B$13,B470)=0,"Unknown product",IF(COUNTIFS(Dat_A,A470,Dat_B,B470,Dat_C,C470)&gt;1,"Duplicate market/product/year",IF(OR(NOT(ISNUMBER(D470)),NOT(ISNUMBER(E470))),"Add launch date and Data through date",IF(E470&lt;D470,"Data through is before launch",IF(OR(NOT(ISNUMBER(F470)),NOT(ISNUMBER(G470))),"Add units and revenue","OK")))))))</f>
        <v/>
      </c>
    </row>
    <row r="471">
      <c r="A471" s="17" t="n"/>
      <c r="B471" s="17" t="n"/>
      <c r="C471" s="17" t="n"/>
      <c r="D471" s="18" t="n"/>
      <c r="E471" s="18" t="n"/>
      <c r="F471" s="19" t="n"/>
      <c r="G471" s="20" t="n"/>
      <c r="H471" s="21">
        <f>IF(AND(ISNUMBER(D471),ISNUMBER(E471)),E471-D471+1,"")</f>
        <v/>
      </c>
      <c r="I471" s="22">
        <f>IF(AND(ISNUMBER(F471),N(F471)&gt;0,ISNUMBER(G471)),G471/F471,"")</f>
        <v/>
      </c>
      <c r="J471" s="21">
        <f>IF(OR(A471="",B471=""),"",IF(C471=Yr_Cur,"CY",IF(C471=Yr_Prev,"PY","")))</f>
        <v/>
      </c>
      <c r="K471" s="21">
        <f>IF(J471="","",IF(J471="CY",SUMIFS(Dat_H,Dat_A,A471,Dat_B,B471,Dat_C,Yr_Prev),SUMIFS(Dat_H,Dat_A,A471,Dat_B,B471,Dat_C,Yr_Cur)))</f>
        <v/>
      </c>
      <c r="L471" s="21">
        <f>IF(J471="",0,IF(AND(ISNUMBER(H471),N(K471)&gt;0,ISNUMBER(F471),ISNUMBER(G471),OR(Sel_Market="All markets",A471=Sel_Market),COUNTIFS(Control!$B$11:$B$13,B471,Control!$C$11:$C$13,"Yes")&gt;0),1,0))</f>
        <v/>
      </c>
      <c r="M471" s="21">
        <f>IF(L471=1,IF(J471="CY",H471,K471),"")</f>
        <v/>
      </c>
      <c r="N471" s="21">
        <f>IF(L471=1,IF(J471="PY",H471,K471),"")</f>
        <v/>
      </c>
      <c r="O471" s="23">
        <f>IF(L471=1,IF(J471="PY",F471*M471/N471,F471),0)</f>
        <v/>
      </c>
      <c r="P471" s="23">
        <f>IF(L471=1,IF(J471="PY",G471*M471/N471,G471),0)</f>
        <v/>
      </c>
      <c r="Q471" s="23">
        <f>IF(AND(L471=1,J471="PY"),F471*(N471-M471)/N471,0)</f>
        <v/>
      </c>
      <c r="R471" s="23">
        <f>IF(AND(L471=1,J471="PY"),G471*(N471-M471)/N471,0)</f>
        <v/>
      </c>
      <c r="S471" s="21">
        <f>IF(COUNTA(A471:G471)=0,"",IF(OR(A471="",B471="",NOT(ISNUMBER(C471))),"Fill market, product and year",IF(COUNTIF(Control!$B$11:$B$13,B471)=0,"Unknown product",IF(COUNTIFS(Dat_A,A471,Dat_B,B471,Dat_C,C471)&gt;1,"Duplicate market/product/year",IF(OR(NOT(ISNUMBER(D471)),NOT(ISNUMBER(E471))),"Add launch date and Data through date",IF(E471&lt;D471,"Data through is before launch",IF(OR(NOT(ISNUMBER(F471)),NOT(ISNUMBER(G471))),"Add units and revenue","OK")))))))</f>
        <v/>
      </c>
    </row>
    <row r="472">
      <c r="A472" s="17" t="n"/>
      <c r="B472" s="17" t="n"/>
      <c r="C472" s="17" t="n"/>
      <c r="D472" s="18" t="n"/>
      <c r="E472" s="18" t="n"/>
      <c r="F472" s="19" t="n"/>
      <c r="G472" s="20" t="n"/>
      <c r="H472" s="21">
        <f>IF(AND(ISNUMBER(D472),ISNUMBER(E472)),E472-D472+1,"")</f>
        <v/>
      </c>
      <c r="I472" s="22">
        <f>IF(AND(ISNUMBER(F472),N(F472)&gt;0,ISNUMBER(G472)),G472/F472,"")</f>
        <v/>
      </c>
      <c r="J472" s="21">
        <f>IF(OR(A472="",B472=""),"",IF(C472=Yr_Cur,"CY",IF(C472=Yr_Prev,"PY","")))</f>
        <v/>
      </c>
      <c r="K472" s="21">
        <f>IF(J472="","",IF(J472="CY",SUMIFS(Dat_H,Dat_A,A472,Dat_B,B472,Dat_C,Yr_Prev),SUMIFS(Dat_H,Dat_A,A472,Dat_B,B472,Dat_C,Yr_Cur)))</f>
        <v/>
      </c>
      <c r="L472" s="21">
        <f>IF(J472="",0,IF(AND(ISNUMBER(H472),N(K472)&gt;0,ISNUMBER(F472),ISNUMBER(G472),OR(Sel_Market="All markets",A472=Sel_Market),COUNTIFS(Control!$B$11:$B$13,B472,Control!$C$11:$C$13,"Yes")&gt;0),1,0))</f>
        <v/>
      </c>
      <c r="M472" s="21">
        <f>IF(L472=1,IF(J472="CY",H472,K472),"")</f>
        <v/>
      </c>
      <c r="N472" s="21">
        <f>IF(L472=1,IF(J472="PY",H472,K472),"")</f>
        <v/>
      </c>
      <c r="O472" s="23">
        <f>IF(L472=1,IF(J472="PY",F472*M472/N472,F472),0)</f>
        <v/>
      </c>
      <c r="P472" s="23">
        <f>IF(L472=1,IF(J472="PY",G472*M472/N472,G472),0)</f>
        <v/>
      </c>
      <c r="Q472" s="23">
        <f>IF(AND(L472=1,J472="PY"),F472*(N472-M472)/N472,0)</f>
        <v/>
      </c>
      <c r="R472" s="23">
        <f>IF(AND(L472=1,J472="PY"),G472*(N472-M472)/N472,0)</f>
        <v/>
      </c>
      <c r="S472" s="21">
        <f>IF(COUNTA(A472:G472)=0,"",IF(OR(A472="",B472="",NOT(ISNUMBER(C472))),"Fill market, product and year",IF(COUNTIF(Control!$B$11:$B$13,B472)=0,"Unknown product",IF(COUNTIFS(Dat_A,A472,Dat_B,B472,Dat_C,C472)&gt;1,"Duplicate market/product/year",IF(OR(NOT(ISNUMBER(D472)),NOT(ISNUMBER(E472))),"Add launch date and Data through date",IF(E472&lt;D472,"Data through is before launch",IF(OR(NOT(ISNUMBER(F472)),NOT(ISNUMBER(G472))),"Add units and revenue","OK")))))))</f>
        <v/>
      </c>
    </row>
    <row r="473">
      <c r="A473" s="17" t="n"/>
      <c r="B473" s="17" t="n"/>
      <c r="C473" s="17" t="n"/>
      <c r="D473" s="18" t="n"/>
      <c r="E473" s="18" t="n"/>
      <c r="F473" s="19" t="n"/>
      <c r="G473" s="20" t="n"/>
      <c r="H473" s="21">
        <f>IF(AND(ISNUMBER(D473),ISNUMBER(E473)),E473-D473+1,"")</f>
        <v/>
      </c>
      <c r="I473" s="22">
        <f>IF(AND(ISNUMBER(F473),N(F473)&gt;0,ISNUMBER(G473)),G473/F473,"")</f>
        <v/>
      </c>
      <c r="J473" s="21">
        <f>IF(OR(A473="",B473=""),"",IF(C473=Yr_Cur,"CY",IF(C473=Yr_Prev,"PY","")))</f>
        <v/>
      </c>
      <c r="K473" s="21">
        <f>IF(J473="","",IF(J473="CY",SUMIFS(Dat_H,Dat_A,A473,Dat_B,B473,Dat_C,Yr_Prev),SUMIFS(Dat_H,Dat_A,A473,Dat_B,B473,Dat_C,Yr_Cur)))</f>
        <v/>
      </c>
      <c r="L473" s="21">
        <f>IF(J473="",0,IF(AND(ISNUMBER(H473),N(K473)&gt;0,ISNUMBER(F473),ISNUMBER(G473),OR(Sel_Market="All markets",A473=Sel_Market),COUNTIFS(Control!$B$11:$B$13,B473,Control!$C$11:$C$13,"Yes")&gt;0),1,0))</f>
        <v/>
      </c>
      <c r="M473" s="21">
        <f>IF(L473=1,IF(J473="CY",H473,K473),"")</f>
        <v/>
      </c>
      <c r="N473" s="21">
        <f>IF(L473=1,IF(J473="PY",H473,K473),"")</f>
        <v/>
      </c>
      <c r="O473" s="23">
        <f>IF(L473=1,IF(J473="PY",F473*M473/N473,F473),0)</f>
        <v/>
      </c>
      <c r="P473" s="23">
        <f>IF(L473=1,IF(J473="PY",G473*M473/N473,G473),0)</f>
        <v/>
      </c>
      <c r="Q473" s="23">
        <f>IF(AND(L473=1,J473="PY"),F473*(N473-M473)/N473,0)</f>
        <v/>
      </c>
      <c r="R473" s="23">
        <f>IF(AND(L473=1,J473="PY"),G473*(N473-M473)/N473,0)</f>
        <v/>
      </c>
      <c r="S473" s="21">
        <f>IF(COUNTA(A473:G473)=0,"",IF(OR(A473="",B473="",NOT(ISNUMBER(C473))),"Fill market, product and year",IF(COUNTIF(Control!$B$11:$B$13,B473)=0,"Unknown product",IF(COUNTIFS(Dat_A,A473,Dat_B,B473,Dat_C,C473)&gt;1,"Duplicate market/product/year",IF(OR(NOT(ISNUMBER(D473)),NOT(ISNUMBER(E473))),"Add launch date and Data through date",IF(E473&lt;D473,"Data through is before launch",IF(OR(NOT(ISNUMBER(F473)),NOT(ISNUMBER(G473))),"Add units and revenue","OK")))))))</f>
        <v/>
      </c>
    </row>
    <row r="474">
      <c r="A474" s="17" t="n"/>
      <c r="B474" s="17" t="n"/>
      <c r="C474" s="17" t="n"/>
      <c r="D474" s="18" t="n"/>
      <c r="E474" s="18" t="n"/>
      <c r="F474" s="19" t="n"/>
      <c r="G474" s="20" t="n"/>
      <c r="H474" s="21">
        <f>IF(AND(ISNUMBER(D474),ISNUMBER(E474)),E474-D474+1,"")</f>
        <v/>
      </c>
      <c r="I474" s="22">
        <f>IF(AND(ISNUMBER(F474),N(F474)&gt;0,ISNUMBER(G474)),G474/F474,"")</f>
        <v/>
      </c>
      <c r="J474" s="21">
        <f>IF(OR(A474="",B474=""),"",IF(C474=Yr_Cur,"CY",IF(C474=Yr_Prev,"PY","")))</f>
        <v/>
      </c>
      <c r="K474" s="21">
        <f>IF(J474="","",IF(J474="CY",SUMIFS(Dat_H,Dat_A,A474,Dat_B,B474,Dat_C,Yr_Prev),SUMIFS(Dat_H,Dat_A,A474,Dat_B,B474,Dat_C,Yr_Cur)))</f>
        <v/>
      </c>
      <c r="L474" s="21">
        <f>IF(J474="",0,IF(AND(ISNUMBER(H474),N(K474)&gt;0,ISNUMBER(F474),ISNUMBER(G474),OR(Sel_Market="All markets",A474=Sel_Market),COUNTIFS(Control!$B$11:$B$13,B474,Control!$C$11:$C$13,"Yes")&gt;0),1,0))</f>
        <v/>
      </c>
      <c r="M474" s="21">
        <f>IF(L474=1,IF(J474="CY",H474,K474),"")</f>
        <v/>
      </c>
      <c r="N474" s="21">
        <f>IF(L474=1,IF(J474="PY",H474,K474),"")</f>
        <v/>
      </c>
      <c r="O474" s="23">
        <f>IF(L474=1,IF(J474="PY",F474*M474/N474,F474),0)</f>
        <v/>
      </c>
      <c r="P474" s="23">
        <f>IF(L474=1,IF(J474="PY",G474*M474/N474,G474),0)</f>
        <v/>
      </c>
      <c r="Q474" s="23">
        <f>IF(AND(L474=1,J474="PY"),F474*(N474-M474)/N474,0)</f>
        <v/>
      </c>
      <c r="R474" s="23">
        <f>IF(AND(L474=1,J474="PY"),G474*(N474-M474)/N474,0)</f>
        <v/>
      </c>
      <c r="S474" s="21">
        <f>IF(COUNTA(A474:G474)=0,"",IF(OR(A474="",B474="",NOT(ISNUMBER(C474))),"Fill market, product and year",IF(COUNTIF(Control!$B$11:$B$13,B474)=0,"Unknown product",IF(COUNTIFS(Dat_A,A474,Dat_B,B474,Dat_C,C474)&gt;1,"Duplicate market/product/year",IF(OR(NOT(ISNUMBER(D474)),NOT(ISNUMBER(E474))),"Add launch date and Data through date",IF(E474&lt;D474,"Data through is before launch",IF(OR(NOT(ISNUMBER(F474)),NOT(ISNUMBER(G474))),"Add units and revenue","OK")))))))</f>
        <v/>
      </c>
    </row>
    <row r="475">
      <c r="A475" s="17" t="n"/>
      <c r="B475" s="17" t="n"/>
      <c r="C475" s="17" t="n"/>
      <c r="D475" s="18" t="n"/>
      <c r="E475" s="18" t="n"/>
      <c r="F475" s="19" t="n"/>
      <c r="G475" s="20" t="n"/>
      <c r="H475" s="21">
        <f>IF(AND(ISNUMBER(D475),ISNUMBER(E475)),E475-D475+1,"")</f>
        <v/>
      </c>
      <c r="I475" s="22">
        <f>IF(AND(ISNUMBER(F475),N(F475)&gt;0,ISNUMBER(G475)),G475/F475,"")</f>
        <v/>
      </c>
      <c r="J475" s="21">
        <f>IF(OR(A475="",B475=""),"",IF(C475=Yr_Cur,"CY",IF(C475=Yr_Prev,"PY","")))</f>
        <v/>
      </c>
      <c r="K475" s="21">
        <f>IF(J475="","",IF(J475="CY",SUMIFS(Dat_H,Dat_A,A475,Dat_B,B475,Dat_C,Yr_Prev),SUMIFS(Dat_H,Dat_A,A475,Dat_B,B475,Dat_C,Yr_Cur)))</f>
        <v/>
      </c>
      <c r="L475" s="21">
        <f>IF(J475="",0,IF(AND(ISNUMBER(H475),N(K475)&gt;0,ISNUMBER(F475),ISNUMBER(G475),OR(Sel_Market="All markets",A475=Sel_Market),COUNTIFS(Control!$B$11:$B$13,B475,Control!$C$11:$C$13,"Yes")&gt;0),1,0))</f>
        <v/>
      </c>
      <c r="M475" s="21">
        <f>IF(L475=1,IF(J475="CY",H475,K475),"")</f>
        <v/>
      </c>
      <c r="N475" s="21">
        <f>IF(L475=1,IF(J475="PY",H475,K475),"")</f>
        <v/>
      </c>
      <c r="O475" s="23">
        <f>IF(L475=1,IF(J475="PY",F475*M475/N475,F475),0)</f>
        <v/>
      </c>
      <c r="P475" s="23">
        <f>IF(L475=1,IF(J475="PY",G475*M475/N475,G475),0)</f>
        <v/>
      </c>
      <c r="Q475" s="23">
        <f>IF(AND(L475=1,J475="PY"),F475*(N475-M475)/N475,0)</f>
        <v/>
      </c>
      <c r="R475" s="23">
        <f>IF(AND(L475=1,J475="PY"),G475*(N475-M475)/N475,0)</f>
        <v/>
      </c>
      <c r="S475" s="21">
        <f>IF(COUNTA(A475:G475)=0,"",IF(OR(A475="",B475="",NOT(ISNUMBER(C475))),"Fill market, product and year",IF(COUNTIF(Control!$B$11:$B$13,B475)=0,"Unknown product",IF(COUNTIFS(Dat_A,A475,Dat_B,B475,Dat_C,C475)&gt;1,"Duplicate market/product/year",IF(OR(NOT(ISNUMBER(D475)),NOT(ISNUMBER(E475))),"Add launch date and Data through date",IF(E475&lt;D475,"Data through is before launch",IF(OR(NOT(ISNUMBER(F475)),NOT(ISNUMBER(G475))),"Add units and revenue","OK")))))))</f>
        <v/>
      </c>
    </row>
    <row r="476">
      <c r="A476" s="17" t="n"/>
      <c r="B476" s="17" t="n"/>
      <c r="C476" s="17" t="n"/>
      <c r="D476" s="18" t="n"/>
      <c r="E476" s="18" t="n"/>
      <c r="F476" s="19" t="n"/>
      <c r="G476" s="20" t="n"/>
      <c r="H476" s="21">
        <f>IF(AND(ISNUMBER(D476),ISNUMBER(E476)),E476-D476+1,"")</f>
        <v/>
      </c>
      <c r="I476" s="22">
        <f>IF(AND(ISNUMBER(F476),N(F476)&gt;0,ISNUMBER(G476)),G476/F476,"")</f>
        <v/>
      </c>
      <c r="J476" s="21">
        <f>IF(OR(A476="",B476=""),"",IF(C476=Yr_Cur,"CY",IF(C476=Yr_Prev,"PY","")))</f>
        <v/>
      </c>
      <c r="K476" s="21">
        <f>IF(J476="","",IF(J476="CY",SUMIFS(Dat_H,Dat_A,A476,Dat_B,B476,Dat_C,Yr_Prev),SUMIFS(Dat_H,Dat_A,A476,Dat_B,B476,Dat_C,Yr_Cur)))</f>
        <v/>
      </c>
      <c r="L476" s="21">
        <f>IF(J476="",0,IF(AND(ISNUMBER(H476),N(K476)&gt;0,ISNUMBER(F476),ISNUMBER(G476),OR(Sel_Market="All markets",A476=Sel_Market),COUNTIFS(Control!$B$11:$B$13,B476,Control!$C$11:$C$13,"Yes")&gt;0),1,0))</f>
        <v/>
      </c>
      <c r="M476" s="21">
        <f>IF(L476=1,IF(J476="CY",H476,K476),"")</f>
        <v/>
      </c>
      <c r="N476" s="21">
        <f>IF(L476=1,IF(J476="PY",H476,K476),"")</f>
        <v/>
      </c>
      <c r="O476" s="23">
        <f>IF(L476=1,IF(J476="PY",F476*M476/N476,F476),0)</f>
        <v/>
      </c>
      <c r="P476" s="23">
        <f>IF(L476=1,IF(J476="PY",G476*M476/N476,G476),0)</f>
        <v/>
      </c>
      <c r="Q476" s="23">
        <f>IF(AND(L476=1,J476="PY"),F476*(N476-M476)/N476,0)</f>
        <v/>
      </c>
      <c r="R476" s="23">
        <f>IF(AND(L476=1,J476="PY"),G476*(N476-M476)/N476,0)</f>
        <v/>
      </c>
      <c r="S476" s="21">
        <f>IF(COUNTA(A476:G476)=0,"",IF(OR(A476="",B476="",NOT(ISNUMBER(C476))),"Fill market, product and year",IF(COUNTIF(Control!$B$11:$B$13,B476)=0,"Unknown product",IF(COUNTIFS(Dat_A,A476,Dat_B,B476,Dat_C,C476)&gt;1,"Duplicate market/product/year",IF(OR(NOT(ISNUMBER(D476)),NOT(ISNUMBER(E476))),"Add launch date and Data through date",IF(E476&lt;D476,"Data through is before launch",IF(OR(NOT(ISNUMBER(F476)),NOT(ISNUMBER(G476))),"Add units and revenue","OK")))))))</f>
        <v/>
      </c>
    </row>
    <row r="477">
      <c r="A477" s="17" t="n"/>
      <c r="B477" s="17" t="n"/>
      <c r="C477" s="17" t="n"/>
      <c r="D477" s="18" t="n"/>
      <c r="E477" s="18" t="n"/>
      <c r="F477" s="19" t="n"/>
      <c r="G477" s="20" t="n"/>
      <c r="H477" s="21">
        <f>IF(AND(ISNUMBER(D477),ISNUMBER(E477)),E477-D477+1,"")</f>
        <v/>
      </c>
      <c r="I477" s="22">
        <f>IF(AND(ISNUMBER(F477),N(F477)&gt;0,ISNUMBER(G477)),G477/F477,"")</f>
        <v/>
      </c>
      <c r="J477" s="21">
        <f>IF(OR(A477="",B477=""),"",IF(C477=Yr_Cur,"CY",IF(C477=Yr_Prev,"PY","")))</f>
        <v/>
      </c>
      <c r="K477" s="21">
        <f>IF(J477="","",IF(J477="CY",SUMIFS(Dat_H,Dat_A,A477,Dat_B,B477,Dat_C,Yr_Prev),SUMIFS(Dat_H,Dat_A,A477,Dat_B,B477,Dat_C,Yr_Cur)))</f>
        <v/>
      </c>
      <c r="L477" s="21">
        <f>IF(J477="",0,IF(AND(ISNUMBER(H477),N(K477)&gt;0,ISNUMBER(F477),ISNUMBER(G477),OR(Sel_Market="All markets",A477=Sel_Market),COUNTIFS(Control!$B$11:$B$13,B477,Control!$C$11:$C$13,"Yes")&gt;0),1,0))</f>
        <v/>
      </c>
      <c r="M477" s="21">
        <f>IF(L477=1,IF(J477="CY",H477,K477),"")</f>
        <v/>
      </c>
      <c r="N477" s="21">
        <f>IF(L477=1,IF(J477="PY",H477,K477),"")</f>
        <v/>
      </c>
      <c r="O477" s="23">
        <f>IF(L477=1,IF(J477="PY",F477*M477/N477,F477),0)</f>
        <v/>
      </c>
      <c r="P477" s="23">
        <f>IF(L477=1,IF(J477="PY",G477*M477/N477,G477),0)</f>
        <v/>
      </c>
      <c r="Q477" s="23">
        <f>IF(AND(L477=1,J477="PY"),F477*(N477-M477)/N477,0)</f>
        <v/>
      </c>
      <c r="R477" s="23">
        <f>IF(AND(L477=1,J477="PY"),G477*(N477-M477)/N477,0)</f>
        <v/>
      </c>
      <c r="S477" s="21">
        <f>IF(COUNTA(A477:G477)=0,"",IF(OR(A477="",B477="",NOT(ISNUMBER(C477))),"Fill market, product and year",IF(COUNTIF(Control!$B$11:$B$13,B477)=0,"Unknown product",IF(COUNTIFS(Dat_A,A477,Dat_B,B477,Dat_C,C477)&gt;1,"Duplicate market/product/year",IF(OR(NOT(ISNUMBER(D477)),NOT(ISNUMBER(E477))),"Add launch date and Data through date",IF(E477&lt;D477,"Data through is before launch",IF(OR(NOT(ISNUMBER(F477)),NOT(ISNUMBER(G477))),"Add units and revenue","OK")))))))</f>
        <v/>
      </c>
    </row>
    <row r="478">
      <c r="A478" s="17" t="n"/>
      <c r="B478" s="17" t="n"/>
      <c r="C478" s="17" t="n"/>
      <c r="D478" s="18" t="n"/>
      <c r="E478" s="18" t="n"/>
      <c r="F478" s="19" t="n"/>
      <c r="G478" s="20" t="n"/>
      <c r="H478" s="21">
        <f>IF(AND(ISNUMBER(D478),ISNUMBER(E478)),E478-D478+1,"")</f>
        <v/>
      </c>
      <c r="I478" s="22">
        <f>IF(AND(ISNUMBER(F478),N(F478)&gt;0,ISNUMBER(G478)),G478/F478,"")</f>
        <v/>
      </c>
      <c r="J478" s="21">
        <f>IF(OR(A478="",B478=""),"",IF(C478=Yr_Cur,"CY",IF(C478=Yr_Prev,"PY","")))</f>
        <v/>
      </c>
      <c r="K478" s="21">
        <f>IF(J478="","",IF(J478="CY",SUMIFS(Dat_H,Dat_A,A478,Dat_B,B478,Dat_C,Yr_Prev),SUMIFS(Dat_H,Dat_A,A478,Dat_B,B478,Dat_C,Yr_Cur)))</f>
        <v/>
      </c>
      <c r="L478" s="21">
        <f>IF(J478="",0,IF(AND(ISNUMBER(H478),N(K478)&gt;0,ISNUMBER(F478),ISNUMBER(G478),OR(Sel_Market="All markets",A478=Sel_Market),COUNTIFS(Control!$B$11:$B$13,B478,Control!$C$11:$C$13,"Yes")&gt;0),1,0))</f>
        <v/>
      </c>
      <c r="M478" s="21">
        <f>IF(L478=1,IF(J478="CY",H478,K478),"")</f>
        <v/>
      </c>
      <c r="N478" s="21">
        <f>IF(L478=1,IF(J478="PY",H478,K478),"")</f>
        <v/>
      </c>
      <c r="O478" s="23">
        <f>IF(L478=1,IF(J478="PY",F478*M478/N478,F478),0)</f>
        <v/>
      </c>
      <c r="P478" s="23">
        <f>IF(L478=1,IF(J478="PY",G478*M478/N478,G478),0)</f>
        <v/>
      </c>
      <c r="Q478" s="23">
        <f>IF(AND(L478=1,J478="PY"),F478*(N478-M478)/N478,0)</f>
        <v/>
      </c>
      <c r="R478" s="23">
        <f>IF(AND(L478=1,J478="PY"),G478*(N478-M478)/N478,0)</f>
        <v/>
      </c>
      <c r="S478" s="21">
        <f>IF(COUNTA(A478:G478)=0,"",IF(OR(A478="",B478="",NOT(ISNUMBER(C478))),"Fill market, product and year",IF(COUNTIF(Control!$B$11:$B$13,B478)=0,"Unknown product",IF(COUNTIFS(Dat_A,A478,Dat_B,B478,Dat_C,C478)&gt;1,"Duplicate market/product/year",IF(OR(NOT(ISNUMBER(D478)),NOT(ISNUMBER(E478))),"Add launch date and Data through date",IF(E478&lt;D478,"Data through is before launch",IF(OR(NOT(ISNUMBER(F478)),NOT(ISNUMBER(G478))),"Add units and revenue","OK")))))))</f>
        <v/>
      </c>
    </row>
    <row r="479">
      <c r="A479" s="17" t="n"/>
      <c r="B479" s="17" t="n"/>
      <c r="C479" s="17" t="n"/>
      <c r="D479" s="18" t="n"/>
      <c r="E479" s="18" t="n"/>
      <c r="F479" s="19" t="n"/>
      <c r="G479" s="20" t="n"/>
      <c r="H479" s="21">
        <f>IF(AND(ISNUMBER(D479),ISNUMBER(E479)),E479-D479+1,"")</f>
        <v/>
      </c>
      <c r="I479" s="22">
        <f>IF(AND(ISNUMBER(F479),N(F479)&gt;0,ISNUMBER(G479)),G479/F479,"")</f>
        <v/>
      </c>
      <c r="J479" s="21">
        <f>IF(OR(A479="",B479=""),"",IF(C479=Yr_Cur,"CY",IF(C479=Yr_Prev,"PY","")))</f>
        <v/>
      </c>
      <c r="K479" s="21">
        <f>IF(J479="","",IF(J479="CY",SUMIFS(Dat_H,Dat_A,A479,Dat_B,B479,Dat_C,Yr_Prev),SUMIFS(Dat_H,Dat_A,A479,Dat_B,B479,Dat_C,Yr_Cur)))</f>
        <v/>
      </c>
      <c r="L479" s="21">
        <f>IF(J479="",0,IF(AND(ISNUMBER(H479),N(K479)&gt;0,ISNUMBER(F479),ISNUMBER(G479),OR(Sel_Market="All markets",A479=Sel_Market),COUNTIFS(Control!$B$11:$B$13,B479,Control!$C$11:$C$13,"Yes")&gt;0),1,0))</f>
        <v/>
      </c>
      <c r="M479" s="21">
        <f>IF(L479=1,IF(J479="CY",H479,K479),"")</f>
        <v/>
      </c>
      <c r="N479" s="21">
        <f>IF(L479=1,IF(J479="PY",H479,K479),"")</f>
        <v/>
      </c>
      <c r="O479" s="23">
        <f>IF(L479=1,IF(J479="PY",F479*M479/N479,F479),0)</f>
        <v/>
      </c>
      <c r="P479" s="23">
        <f>IF(L479=1,IF(J479="PY",G479*M479/N479,G479),0)</f>
        <v/>
      </c>
      <c r="Q479" s="23">
        <f>IF(AND(L479=1,J479="PY"),F479*(N479-M479)/N479,0)</f>
        <v/>
      </c>
      <c r="R479" s="23">
        <f>IF(AND(L479=1,J479="PY"),G479*(N479-M479)/N479,0)</f>
        <v/>
      </c>
      <c r="S479" s="21">
        <f>IF(COUNTA(A479:G479)=0,"",IF(OR(A479="",B479="",NOT(ISNUMBER(C479))),"Fill market, product and year",IF(COUNTIF(Control!$B$11:$B$13,B479)=0,"Unknown product",IF(COUNTIFS(Dat_A,A479,Dat_B,B479,Dat_C,C479)&gt;1,"Duplicate market/product/year",IF(OR(NOT(ISNUMBER(D479)),NOT(ISNUMBER(E479))),"Add launch date and Data through date",IF(E479&lt;D479,"Data through is before launch",IF(OR(NOT(ISNUMBER(F479)),NOT(ISNUMBER(G479))),"Add units and revenue","OK")))))))</f>
        <v/>
      </c>
    </row>
    <row r="480">
      <c r="A480" s="17" t="n"/>
      <c r="B480" s="17" t="n"/>
      <c r="C480" s="17" t="n"/>
      <c r="D480" s="18" t="n"/>
      <c r="E480" s="18" t="n"/>
      <c r="F480" s="19" t="n"/>
      <c r="G480" s="20" t="n"/>
      <c r="H480" s="21">
        <f>IF(AND(ISNUMBER(D480),ISNUMBER(E480)),E480-D480+1,"")</f>
        <v/>
      </c>
      <c r="I480" s="22">
        <f>IF(AND(ISNUMBER(F480),N(F480)&gt;0,ISNUMBER(G480)),G480/F480,"")</f>
        <v/>
      </c>
      <c r="J480" s="21">
        <f>IF(OR(A480="",B480=""),"",IF(C480=Yr_Cur,"CY",IF(C480=Yr_Prev,"PY","")))</f>
        <v/>
      </c>
      <c r="K480" s="21">
        <f>IF(J480="","",IF(J480="CY",SUMIFS(Dat_H,Dat_A,A480,Dat_B,B480,Dat_C,Yr_Prev),SUMIFS(Dat_H,Dat_A,A480,Dat_B,B480,Dat_C,Yr_Cur)))</f>
        <v/>
      </c>
      <c r="L480" s="21">
        <f>IF(J480="",0,IF(AND(ISNUMBER(H480),N(K480)&gt;0,ISNUMBER(F480),ISNUMBER(G480),OR(Sel_Market="All markets",A480=Sel_Market),COUNTIFS(Control!$B$11:$B$13,B480,Control!$C$11:$C$13,"Yes")&gt;0),1,0))</f>
        <v/>
      </c>
      <c r="M480" s="21">
        <f>IF(L480=1,IF(J480="CY",H480,K480),"")</f>
        <v/>
      </c>
      <c r="N480" s="21">
        <f>IF(L480=1,IF(J480="PY",H480,K480),"")</f>
        <v/>
      </c>
      <c r="O480" s="23">
        <f>IF(L480=1,IF(J480="PY",F480*M480/N480,F480),0)</f>
        <v/>
      </c>
      <c r="P480" s="23">
        <f>IF(L480=1,IF(J480="PY",G480*M480/N480,G480),0)</f>
        <v/>
      </c>
      <c r="Q480" s="23">
        <f>IF(AND(L480=1,J480="PY"),F480*(N480-M480)/N480,0)</f>
        <v/>
      </c>
      <c r="R480" s="23">
        <f>IF(AND(L480=1,J480="PY"),G480*(N480-M480)/N480,0)</f>
        <v/>
      </c>
      <c r="S480" s="21">
        <f>IF(COUNTA(A480:G480)=0,"",IF(OR(A480="",B480="",NOT(ISNUMBER(C480))),"Fill market, product and year",IF(COUNTIF(Control!$B$11:$B$13,B480)=0,"Unknown product",IF(COUNTIFS(Dat_A,A480,Dat_B,B480,Dat_C,C480)&gt;1,"Duplicate market/product/year",IF(OR(NOT(ISNUMBER(D480)),NOT(ISNUMBER(E480))),"Add launch date and Data through date",IF(E480&lt;D480,"Data through is before launch",IF(OR(NOT(ISNUMBER(F480)),NOT(ISNUMBER(G480))),"Add units and revenue","OK")))))))</f>
        <v/>
      </c>
    </row>
    <row r="481">
      <c r="A481" s="17" t="n"/>
      <c r="B481" s="17" t="n"/>
      <c r="C481" s="17" t="n"/>
      <c r="D481" s="18" t="n"/>
      <c r="E481" s="18" t="n"/>
      <c r="F481" s="19" t="n"/>
      <c r="G481" s="20" t="n"/>
      <c r="H481" s="21">
        <f>IF(AND(ISNUMBER(D481),ISNUMBER(E481)),E481-D481+1,"")</f>
        <v/>
      </c>
      <c r="I481" s="22">
        <f>IF(AND(ISNUMBER(F481),N(F481)&gt;0,ISNUMBER(G481)),G481/F481,"")</f>
        <v/>
      </c>
      <c r="J481" s="21">
        <f>IF(OR(A481="",B481=""),"",IF(C481=Yr_Cur,"CY",IF(C481=Yr_Prev,"PY","")))</f>
        <v/>
      </c>
      <c r="K481" s="21">
        <f>IF(J481="","",IF(J481="CY",SUMIFS(Dat_H,Dat_A,A481,Dat_B,B481,Dat_C,Yr_Prev),SUMIFS(Dat_H,Dat_A,A481,Dat_B,B481,Dat_C,Yr_Cur)))</f>
        <v/>
      </c>
      <c r="L481" s="21">
        <f>IF(J481="",0,IF(AND(ISNUMBER(H481),N(K481)&gt;0,ISNUMBER(F481),ISNUMBER(G481),OR(Sel_Market="All markets",A481=Sel_Market),COUNTIFS(Control!$B$11:$B$13,B481,Control!$C$11:$C$13,"Yes")&gt;0),1,0))</f>
        <v/>
      </c>
      <c r="M481" s="21">
        <f>IF(L481=1,IF(J481="CY",H481,K481),"")</f>
        <v/>
      </c>
      <c r="N481" s="21">
        <f>IF(L481=1,IF(J481="PY",H481,K481),"")</f>
        <v/>
      </c>
      <c r="O481" s="23">
        <f>IF(L481=1,IF(J481="PY",F481*M481/N481,F481),0)</f>
        <v/>
      </c>
      <c r="P481" s="23">
        <f>IF(L481=1,IF(J481="PY",G481*M481/N481,G481),0)</f>
        <v/>
      </c>
      <c r="Q481" s="23">
        <f>IF(AND(L481=1,J481="PY"),F481*(N481-M481)/N481,0)</f>
        <v/>
      </c>
      <c r="R481" s="23">
        <f>IF(AND(L481=1,J481="PY"),G481*(N481-M481)/N481,0)</f>
        <v/>
      </c>
      <c r="S481" s="21">
        <f>IF(COUNTA(A481:G481)=0,"",IF(OR(A481="",B481="",NOT(ISNUMBER(C481))),"Fill market, product and year",IF(COUNTIF(Control!$B$11:$B$13,B481)=0,"Unknown product",IF(COUNTIFS(Dat_A,A481,Dat_B,B481,Dat_C,C481)&gt;1,"Duplicate market/product/year",IF(OR(NOT(ISNUMBER(D481)),NOT(ISNUMBER(E481))),"Add launch date and Data through date",IF(E481&lt;D481,"Data through is before launch",IF(OR(NOT(ISNUMBER(F481)),NOT(ISNUMBER(G481))),"Add units and revenue","OK")))))))</f>
        <v/>
      </c>
    </row>
    <row r="482">
      <c r="A482" s="17" t="n"/>
      <c r="B482" s="17" t="n"/>
      <c r="C482" s="17" t="n"/>
      <c r="D482" s="18" t="n"/>
      <c r="E482" s="18" t="n"/>
      <c r="F482" s="19" t="n"/>
      <c r="G482" s="20" t="n"/>
      <c r="H482" s="21">
        <f>IF(AND(ISNUMBER(D482),ISNUMBER(E482)),E482-D482+1,"")</f>
        <v/>
      </c>
      <c r="I482" s="22">
        <f>IF(AND(ISNUMBER(F482),N(F482)&gt;0,ISNUMBER(G482)),G482/F482,"")</f>
        <v/>
      </c>
      <c r="J482" s="21">
        <f>IF(OR(A482="",B482=""),"",IF(C482=Yr_Cur,"CY",IF(C482=Yr_Prev,"PY","")))</f>
        <v/>
      </c>
      <c r="K482" s="21">
        <f>IF(J482="","",IF(J482="CY",SUMIFS(Dat_H,Dat_A,A482,Dat_B,B482,Dat_C,Yr_Prev),SUMIFS(Dat_H,Dat_A,A482,Dat_B,B482,Dat_C,Yr_Cur)))</f>
        <v/>
      </c>
      <c r="L482" s="21">
        <f>IF(J482="",0,IF(AND(ISNUMBER(H482),N(K482)&gt;0,ISNUMBER(F482),ISNUMBER(G482),OR(Sel_Market="All markets",A482=Sel_Market),COUNTIFS(Control!$B$11:$B$13,B482,Control!$C$11:$C$13,"Yes")&gt;0),1,0))</f>
        <v/>
      </c>
      <c r="M482" s="21">
        <f>IF(L482=1,IF(J482="CY",H482,K482),"")</f>
        <v/>
      </c>
      <c r="N482" s="21">
        <f>IF(L482=1,IF(J482="PY",H482,K482),"")</f>
        <v/>
      </c>
      <c r="O482" s="23">
        <f>IF(L482=1,IF(J482="PY",F482*M482/N482,F482),0)</f>
        <v/>
      </c>
      <c r="P482" s="23">
        <f>IF(L482=1,IF(J482="PY",G482*M482/N482,G482),0)</f>
        <v/>
      </c>
      <c r="Q482" s="23">
        <f>IF(AND(L482=1,J482="PY"),F482*(N482-M482)/N482,0)</f>
        <v/>
      </c>
      <c r="R482" s="23">
        <f>IF(AND(L482=1,J482="PY"),G482*(N482-M482)/N482,0)</f>
        <v/>
      </c>
      <c r="S482" s="21">
        <f>IF(COUNTA(A482:G482)=0,"",IF(OR(A482="",B482="",NOT(ISNUMBER(C482))),"Fill market, product and year",IF(COUNTIF(Control!$B$11:$B$13,B482)=0,"Unknown product",IF(COUNTIFS(Dat_A,A482,Dat_B,B482,Dat_C,C482)&gt;1,"Duplicate market/product/year",IF(OR(NOT(ISNUMBER(D482)),NOT(ISNUMBER(E482))),"Add launch date and Data through date",IF(E482&lt;D482,"Data through is before launch",IF(OR(NOT(ISNUMBER(F482)),NOT(ISNUMBER(G482))),"Add units and revenue","OK")))))))</f>
        <v/>
      </c>
    </row>
    <row r="483">
      <c r="A483" s="17" t="n"/>
      <c r="B483" s="17" t="n"/>
      <c r="C483" s="17" t="n"/>
      <c r="D483" s="18" t="n"/>
      <c r="E483" s="18" t="n"/>
      <c r="F483" s="19" t="n"/>
      <c r="G483" s="20" t="n"/>
      <c r="H483" s="21">
        <f>IF(AND(ISNUMBER(D483),ISNUMBER(E483)),E483-D483+1,"")</f>
        <v/>
      </c>
      <c r="I483" s="22">
        <f>IF(AND(ISNUMBER(F483),N(F483)&gt;0,ISNUMBER(G483)),G483/F483,"")</f>
        <v/>
      </c>
      <c r="J483" s="21">
        <f>IF(OR(A483="",B483=""),"",IF(C483=Yr_Cur,"CY",IF(C483=Yr_Prev,"PY","")))</f>
        <v/>
      </c>
      <c r="K483" s="21">
        <f>IF(J483="","",IF(J483="CY",SUMIFS(Dat_H,Dat_A,A483,Dat_B,B483,Dat_C,Yr_Prev),SUMIFS(Dat_H,Dat_A,A483,Dat_B,B483,Dat_C,Yr_Cur)))</f>
        <v/>
      </c>
      <c r="L483" s="21">
        <f>IF(J483="",0,IF(AND(ISNUMBER(H483),N(K483)&gt;0,ISNUMBER(F483),ISNUMBER(G483),OR(Sel_Market="All markets",A483=Sel_Market),COUNTIFS(Control!$B$11:$B$13,B483,Control!$C$11:$C$13,"Yes")&gt;0),1,0))</f>
        <v/>
      </c>
      <c r="M483" s="21">
        <f>IF(L483=1,IF(J483="CY",H483,K483),"")</f>
        <v/>
      </c>
      <c r="N483" s="21">
        <f>IF(L483=1,IF(J483="PY",H483,K483),"")</f>
        <v/>
      </c>
      <c r="O483" s="23">
        <f>IF(L483=1,IF(J483="PY",F483*M483/N483,F483),0)</f>
        <v/>
      </c>
      <c r="P483" s="23">
        <f>IF(L483=1,IF(J483="PY",G483*M483/N483,G483),0)</f>
        <v/>
      </c>
      <c r="Q483" s="23">
        <f>IF(AND(L483=1,J483="PY"),F483*(N483-M483)/N483,0)</f>
        <v/>
      </c>
      <c r="R483" s="23">
        <f>IF(AND(L483=1,J483="PY"),G483*(N483-M483)/N483,0)</f>
        <v/>
      </c>
      <c r="S483" s="21">
        <f>IF(COUNTA(A483:G483)=0,"",IF(OR(A483="",B483="",NOT(ISNUMBER(C483))),"Fill market, product and year",IF(COUNTIF(Control!$B$11:$B$13,B483)=0,"Unknown product",IF(COUNTIFS(Dat_A,A483,Dat_B,B483,Dat_C,C483)&gt;1,"Duplicate market/product/year",IF(OR(NOT(ISNUMBER(D483)),NOT(ISNUMBER(E483))),"Add launch date and Data through date",IF(E483&lt;D483,"Data through is before launch",IF(OR(NOT(ISNUMBER(F483)),NOT(ISNUMBER(G483))),"Add units and revenue","OK")))))))</f>
        <v/>
      </c>
    </row>
    <row r="484">
      <c r="A484" s="17" t="n"/>
      <c r="B484" s="17" t="n"/>
      <c r="C484" s="17" t="n"/>
      <c r="D484" s="18" t="n"/>
      <c r="E484" s="18" t="n"/>
      <c r="F484" s="19" t="n"/>
      <c r="G484" s="20" t="n"/>
      <c r="H484" s="21">
        <f>IF(AND(ISNUMBER(D484),ISNUMBER(E484)),E484-D484+1,"")</f>
        <v/>
      </c>
      <c r="I484" s="22">
        <f>IF(AND(ISNUMBER(F484),N(F484)&gt;0,ISNUMBER(G484)),G484/F484,"")</f>
        <v/>
      </c>
      <c r="J484" s="21">
        <f>IF(OR(A484="",B484=""),"",IF(C484=Yr_Cur,"CY",IF(C484=Yr_Prev,"PY","")))</f>
        <v/>
      </c>
      <c r="K484" s="21">
        <f>IF(J484="","",IF(J484="CY",SUMIFS(Dat_H,Dat_A,A484,Dat_B,B484,Dat_C,Yr_Prev),SUMIFS(Dat_H,Dat_A,A484,Dat_B,B484,Dat_C,Yr_Cur)))</f>
        <v/>
      </c>
      <c r="L484" s="21">
        <f>IF(J484="",0,IF(AND(ISNUMBER(H484),N(K484)&gt;0,ISNUMBER(F484),ISNUMBER(G484),OR(Sel_Market="All markets",A484=Sel_Market),COUNTIFS(Control!$B$11:$B$13,B484,Control!$C$11:$C$13,"Yes")&gt;0),1,0))</f>
        <v/>
      </c>
      <c r="M484" s="21">
        <f>IF(L484=1,IF(J484="CY",H484,K484),"")</f>
        <v/>
      </c>
      <c r="N484" s="21">
        <f>IF(L484=1,IF(J484="PY",H484,K484),"")</f>
        <v/>
      </c>
      <c r="O484" s="23">
        <f>IF(L484=1,IF(J484="PY",F484*M484/N484,F484),0)</f>
        <v/>
      </c>
      <c r="P484" s="23">
        <f>IF(L484=1,IF(J484="PY",G484*M484/N484,G484),0)</f>
        <v/>
      </c>
      <c r="Q484" s="23">
        <f>IF(AND(L484=1,J484="PY"),F484*(N484-M484)/N484,0)</f>
        <v/>
      </c>
      <c r="R484" s="23">
        <f>IF(AND(L484=1,J484="PY"),G484*(N484-M484)/N484,0)</f>
        <v/>
      </c>
      <c r="S484" s="21">
        <f>IF(COUNTA(A484:G484)=0,"",IF(OR(A484="",B484="",NOT(ISNUMBER(C484))),"Fill market, product and year",IF(COUNTIF(Control!$B$11:$B$13,B484)=0,"Unknown product",IF(COUNTIFS(Dat_A,A484,Dat_B,B484,Dat_C,C484)&gt;1,"Duplicate market/product/year",IF(OR(NOT(ISNUMBER(D484)),NOT(ISNUMBER(E484))),"Add launch date and Data through date",IF(E484&lt;D484,"Data through is before launch",IF(OR(NOT(ISNUMBER(F484)),NOT(ISNUMBER(G484))),"Add units and revenue","OK")))))))</f>
        <v/>
      </c>
    </row>
    <row r="485">
      <c r="A485" s="17" t="n"/>
      <c r="B485" s="17" t="n"/>
      <c r="C485" s="17" t="n"/>
      <c r="D485" s="18" t="n"/>
      <c r="E485" s="18" t="n"/>
      <c r="F485" s="19" t="n"/>
      <c r="G485" s="20" t="n"/>
      <c r="H485" s="21">
        <f>IF(AND(ISNUMBER(D485),ISNUMBER(E485)),E485-D485+1,"")</f>
        <v/>
      </c>
      <c r="I485" s="22">
        <f>IF(AND(ISNUMBER(F485),N(F485)&gt;0,ISNUMBER(G485)),G485/F485,"")</f>
        <v/>
      </c>
      <c r="J485" s="21">
        <f>IF(OR(A485="",B485=""),"",IF(C485=Yr_Cur,"CY",IF(C485=Yr_Prev,"PY","")))</f>
        <v/>
      </c>
      <c r="K485" s="21">
        <f>IF(J485="","",IF(J485="CY",SUMIFS(Dat_H,Dat_A,A485,Dat_B,B485,Dat_C,Yr_Prev),SUMIFS(Dat_H,Dat_A,A485,Dat_B,B485,Dat_C,Yr_Cur)))</f>
        <v/>
      </c>
      <c r="L485" s="21">
        <f>IF(J485="",0,IF(AND(ISNUMBER(H485),N(K485)&gt;0,ISNUMBER(F485),ISNUMBER(G485),OR(Sel_Market="All markets",A485=Sel_Market),COUNTIFS(Control!$B$11:$B$13,B485,Control!$C$11:$C$13,"Yes")&gt;0),1,0))</f>
        <v/>
      </c>
      <c r="M485" s="21">
        <f>IF(L485=1,IF(J485="CY",H485,K485),"")</f>
        <v/>
      </c>
      <c r="N485" s="21">
        <f>IF(L485=1,IF(J485="PY",H485,K485),"")</f>
        <v/>
      </c>
      <c r="O485" s="23">
        <f>IF(L485=1,IF(J485="PY",F485*M485/N485,F485),0)</f>
        <v/>
      </c>
      <c r="P485" s="23">
        <f>IF(L485=1,IF(J485="PY",G485*M485/N485,G485),0)</f>
        <v/>
      </c>
      <c r="Q485" s="23">
        <f>IF(AND(L485=1,J485="PY"),F485*(N485-M485)/N485,0)</f>
        <v/>
      </c>
      <c r="R485" s="23">
        <f>IF(AND(L485=1,J485="PY"),G485*(N485-M485)/N485,0)</f>
        <v/>
      </c>
      <c r="S485" s="21">
        <f>IF(COUNTA(A485:G485)=0,"",IF(OR(A485="",B485="",NOT(ISNUMBER(C485))),"Fill market, product and year",IF(COUNTIF(Control!$B$11:$B$13,B485)=0,"Unknown product",IF(COUNTIFS(Dat_A,A485,Dat_B,B485,Dat_C,C485)&gt;1,"Duplicate market/product/year",IF(OR(NOT(ISNUMBER(D485)),NOT(ISNUMBER(E485))),"Add launch date and Data through date",IF(E485&lt;D485,"Data through is before launch",IF(OR(NOT(ISNUMBER(F485)),NOT(ISNUMBER(G485))),"Add units and revenue","OK")))))))</f>
        <v/>
      </c>
    </row>
    <row r="486">
      <c r="A486" s="17" t="n"/>
      <c r="B486" s="17" t="n"/>
      <c r="C486" s="17" t="n"/>
      <c r="D486" s="18" t="n"/>
      <c r="E486" s="18" t="n"/>
      <c r="F486" s="19" t="n"/>
      <c r="G486" s="20" t="n"/>
      <c r="H486" s="21">
        <f>IF(AND(ISNUMBER(D486),ISNUMBER(E486)),E486-D486+1,"")</f>
        <v/>
      </c>
      <c r="I486" s="22">
        <f>IF(AND(ISNUMBER(F486),N(F486)&gt;0,ISNUMBER(G486)),G486/F486,"")</f>
        <v/>
      </c>
      <c r="J486" s="21">
        <f>IF(OR(A486="",B486=""),"",IF(C486=Yr_Cur,"CY",IF(C486=Yr_Prev,"PY","")))</f>
        <v/>
      </c>
      <c r="K486" s="21">
        <f>IF(J486="","",IF(J486="CY",SUMIFS(Dat_H,Dat_A,A486,Dat_B,B486,Dat_C,Yr_Prev),SUMIFS(Dat_H,Dat_A,A486,Dat_B,B486,Dat_C,Yr_Cur)))</f>
        <v/>
      </c>
      <c r="L486" s="21">
        <f>IF(J486="",0,IF(AND(ISNUMBER(H486),N(K486)&gt;0,ISNUMBER(F486),ISNUMBER(G486),OR(Sel_Market="All markets",A486=Sel_Market),COUNTIFS(Control!$B$11:$B$13,B486,Control!$C$11:$C$13,"Yes")&gt;0),1,0))</f>
        <v/>
      </c>
      <c r="M486" s="21">
        <f>IF(L486=1,IF(J486="CY",H486,K486),"")</f>
        <v/>
      </c>
      <c r="N486" s="21">
        <f>IF(L486=1,IF(J486="PY",H486,K486),"")</f>
        <v/>
      </c>
      <c r="O486" s="23">
        <f>IF(L486=1,IF(J486="PY",F486*M486/N486,F486),0)</f>
        <v/>
      </c>
      <c r="P486" s="23">
        <f>IF(L486=1,IF(J486="PY",G486*M486/N486,G486),0)</f>
        <v/>
      </c>
      <c r="Q486" s="23">
        <f>IF(AND(L486=1,J486="PY"),F486*(N486-M486)/N486,0)</f>
        <v/>
      </c>
      <c r="R486" s="23">
        <f>IF(AND(L486=1,J486="PY"),G486*(N486-M486)/N486,0)</f>
        <v/>
      </c>
      <c r="S486" s="21">
        <f>IF(COUNTA(A486:G486)=0,"",IF(OR(A486="",B486="",NOT(ISNUMBER(C486))),"Fill market, product and year",IF(COUNTIF(Control!$B$11:$B$13,B486)=0,"Unknown product",IF(COUNTIFS(Dat_A,A486,Dat_B,B486,Dat_C,C486)&gt;1,"Duplicate market/product/year",IF(OR(NOT(ISNUMBER(D486)),NOT(ISNUMBER(E486))),"Add launch date and Data through date",IF(E486&lt;D486,"Data through is before launch",IF(OR(NOT(ISNUMBER(F486)),NOT(ISNUMBER(G486))),"Add units and revenue","OK")))))))</f>
        <v/>
      </c>
    </row>
    <row r="487">
      <c r="A487" s="17" t="n"/>
      <c r="B487" s="17" t="n"/>
      <c r="C487" s="17" t="n"/>
      <c r="D487" s="18" t="n"/>
      <c r="E487" s="18" t="n"/>
      <c r="F487" s="19" t="n"/>
      <c r="G487" s="20" t="n"/>
      <c r="H487" s="21">
        <f>IF(AND(ISNUMBER(D487),ISNUMBER(E487)),E487-D487+1,"")</f>
        <v/>
      </c>
      <c r="I487" s="22">
        <f>IF(AND(ISNUMBER(F487),N(F487)&gt;0,ISNUMBER(G487)),G487/F487,"")</f>
        <v/>
      </c>
      <c r="J487" s="21">
        <f>IF(OR(A487="",B487=""),"",IF(C487=Yr_Cur,"CY",IF(C487=Yr_Prev,"PY","")))</f>
        <v/>
      </c>
      <c r="K487" s="21">
        <f>IF(J487="","",IF(J487="CY",SUMIFS(Dat_H,Dat_A,A487,Dat_B,B487,Dat_C,Yr_Prev),SUMIFS(Dat_H,Dat_A,A487,Dat_B,B487,Dat_C,Yr_Cur)))</f>
        <v/>
      </c>
      <c r="L487" s="21">
        <f>IF(J487="",0,IF(AND(ISNUMBER(H487),N(K487)&gt;0,ISNUMBER(F487),ISNUMBER(G487),OR(Sel_Market="All markets",A487=Sel_Market),COUNTIFS(Control!$B$11:$B$13,B487,Control!$C$11:$C$13,"Yes")&gt;0),1,0))</f>
        <v/>
      </c>
      <c r="M487" s="21">
        <f>IF(L487=1,IF(J487="CY",H487,K487),"")</f>
        <v/>
      </c>
      <c r="N487" s="21">
        <f>IF(L487=1,IF(J487="PY",H487,K487),"")</f>
        <v/>
      </c>
      <c r="O487" s="23">
        <f>IF(L487=1,IF(J487="PY",F487*M487/N487,F487),0)</f>
        <v/>
      </c>
      <c r="P487" s="23">
        <f>IF(L487=1,IF(J487="PY",G487*M487/N487,G487),0)</f>
        <v/>
      </c>
      <c r="Q487" s="23">
        <f>IF(AND(L487=1,J487="PY"),F487*(N487-M487)/N487,0)</f>
        <v/>
      </c>
      <c r="R487" s="23">
        <f>IF(AND(L487=1,J487="PY"),G487*(N487-M487)/N487,0)</f>
        <v/>
      </c>
      <c r="S487" s="21">
        <f>IF(COUNTA(A487:G487)=0,"",IF(OR(A487="",B487="",NOT(ISNUMBER(C487))),"Fill market, product and year",IF(COUNTIF(Control!$B$11:$B$13,B487)=0,"Unknown product",IF(COUNTIFS(Dat_A,A487,Dat_B,B487,Dat_C,C487)&gt;1,"Duplicate market/product/year",IF(OR(NOT(ISNUMBER(D487)),NOT(ISNUMBER(E487))),"Add launch date and Data through date",IF(E487&lt;D487,"Data through is before launch",IF(OR(NOT(ISNUMBER(F487)),NOT(ISNUMBER(G487))),"Add units and revenue","OK")))))))</f>
        <v/>
      </c>
    </row>
    <row r="488">
      <c r="A488" s="17" t="n"/>
      <c r="B488" s="17" t="n"/>
      <c r="C488" s="17" t="n"/>
      <c r="D488" s="18" t="n"/>
      <c r="E488" s="18" t="n"/>
      <c r="F488" s="19" t="n"/>
      <c r="G488" s="20" t="n"/>
      <c r="H488" s="21">
        <f>IF(AND(ISNUMBER(D488),ISNUMBER(E488)),E488-D488+1,"")</f>
        <v/>
      </c>
      <c r="I488" s="22">
        <f>IF(AND(ISNUMBER(F488),N(F488)&gt;0,ISNUMBER(G488)),G488/F488,"")</f>
        <v/>
      </c>
      <c r="J488" s="21">
        <f>IF(OR(A488="",B488=""),"",IF(C488=Yr_Cur,"CY",IF(C488=Yr_Prev,"PY","")))</f>
        <v/>
      </c>
      <c r="K488" s="21">
        <f>IF(J488="","",IF(J488="CY",SUMIFS(Dat_H,Dat_A,A488,Dat_B,B488,Dat_C,Yr_Prev),SUMIFS(Dat_H,Dat_A,A488,Dat_B,B488,Dat_C,Yr_Cur)))</f>
        <v/>
      </c>
      <c r="L488" s="21">
        <f>IF(J488="",0,IF(AND(ISNUMBER(H488),N(K488)&gt;0,ISNUMBER(F488),ISNUMBER(G488),OR(Sel_Market="All markets",A488=Sel_Market),COUNTIFS(Control!$B$11:$B$13,B488,Control!$C$11:$C$13,"Yes")&gt;0),1,0))</f>
        <v/>
      </c>
      <c r="M488" s="21">
        <f>IF(L488=1,IF(J488="CY",H488,K488),"")</f>
        <v/>
      </c>
      <c r="N488" s="21">
        <f>IF(L488=1,IF(J488="PY",H488,K488),"")</f>
        <v/>
      </c>
      <c r="O488" s="23">
        <f>IF(L488=1,IF(J488="PY",F488*M488/N488,F488),0)</f>
        <v/>
      </c>
      <c r="P488" s="23">
        <f>IF(L488=1,IF(J488="PY",G488*M488/N488,G488),0)</f>
        <v/>
      </c>
      <c r="Q488" s="23">
        <f>IF(AND(L488=1,J488="PY"),F488*(N488-M488)/N488,0)</f>
        <v/>
      </c>
      <c r="R488" s="23">
        <f>IF(AND(L488=1,J488="PY"),G488*(N488-M488)/N488,0)</f>
        <v/>
      </c>
      <c r="S488" s="21">
        <f>IF(COUNTA(A488:G488)=0,"",IF(OR(A488="",B488="",NOT(ISNUMBER(C488))),"Fill market, product and year",IF(COUNTIF(Control!$B$11:$B$13,B488)=0,"Unknown product",IF(COUNTIFS(Dat_A,A488,Dat_B,B488,Dat_C,C488)&gt;1,"Duplicate market/product/year",IF(OR(NOT(ISNUMBER(D488)),NOT(ISNUMBER(E488))),"Add launch date and Data through date",IF(E488&lt;D488,"Data through is before launch",IF(OR(NOT(ISNUMBER(F488)),NOT(ISNUMBER(G488))),"Add units and revenue","OK")))))))</f>
        <v/>
      </c>
    </row>
    <row r="489">
      <c r="A489" s="17" t="n"/>
      <c r="B489" s="17" t="n"/>
      <c r="C489" s="17" t="n"/>
      <c r="D489" s="18" t="n"/>
      <c r="E489" s="18" t="n"/>
      <c r="F489" s="19" t="n"/>
      <c r="G489" s="20" t="n"/>
      <c r="H489" s="21">
        <f>IF(AND(ISNUMBER(D489),ISNUMBER(E489)),E489-D489+1,"")</f>
        <v/>
      </c>
      <c r="I489" s="22">
        <f>IF(AND(ISNUMBER(F489),N(F489)&gt;0,ISNUMBER(G489)),G489/F489,"")</f>
        <v/>
      </c>
      <c r="J489" s="21">
        <f>IF(OR(A489="",B489=""),"",IF(C489=Yr_Cur,"CY",IF(C489=Yr_Prev,"PY","")))</f>
        <v/>
      </c>
      <c r="K489" s="21">
        <f>IF(J489="","",IF(J489="CY",SUMIFS(Dat_H,Dat_A,A489,Dat_B,B489,Dat_C,Yr_Prev),SUMIFS(Dat_H,Dat_A,A489,Dat_B,B489,Dat_C,Yr_Cur)))</f>
        <v/>
      </c>
      <c r="L489" s="21">
        <f>IF(J489="",0,IF(AND(ISNUMBER(H489),N(K489)&gt;0,ISNUMBER(F489),ISNUMBER(G489),OR(Sel_Market="All markets",A489=Sel_Market),COUNTIFS(Control!$B$11:$B$13,B489,Control!$C$11:$C$13,"Yes")&gt;0),1,0))</f>
        <v/>
      </c>
      <c r="M489" s="21">
        <f>IF(L489=1,IF(J489="CY",H489,K489),"")</f>
        <v/>
      </c>
      <c r="N489" s="21">
        <f>IF(L489=1,IF(J489="PY",H489,K489),"")</f>
        <v/>
      </c>
      <c r="O489" s="23">
        <f>IF(L489=1,IF(J489="PY",F489*M489/N489,F489),0)</f>
        <v/>
      </c>
      <c r="P489" s="23">
        <f>IF(L489=1,IF(J489="PY",G489*M489/N489,G489),0)</f>
        <v/>
      </c>
      <c r="Q489" s="23">
        <f>IF(AND(L489=1,J489="PY"),F489*(N489-M489)/N489,0)</f>
        <v/>
      </c>
      <c r="R489" s="23">
        <f>IF(AND(L489=1,J489="PY"),G489*(N489-M489)/N489,0)</f>
        <v/>
      </c>
      <c r="S489" s="21">
        <f>IF(COUNTA(A489:G489)=0,"",IF(OR(A489="",B489="",NOT(ISNUMBER(C489))),"Fill market, product and year",IF(COUNTIF(Control!$B$11:$B$13,B489)=0,"Unknown product",IF(COUNTIFS(Dat_A,A489,Dat_B,B489,Dat_C,C489)&gt;1,"Duplicate market/product/year",IF(OR(NOT(ISNUMBER(D489)),NOT(ISNUMBER(E489))),"Add launch date and Data through date",IF(E489&lt;D489,"Data through is before launch",IF(OR(NOT(ISNUMBER(F489)),NOT(ISNUMBER(G489))),"Add units and revenue","OK")))))))</f>
        <v/>
      </c>
    </row>
    <row r="490">
      <c r="A490" s="17" t="n"/>
      <c r="B490" s="17" t="n"/>
      <c r="C490" s="17" t="n"/>
      <c r="D490" s="18" t="n"/>
      <c r="E490" s="18" t="n"/>
      <c r="F490" s="19" t="n"/>
      <c r="G490" s="20" t="n"/>
      <c r="H490" s="21">
        <f>IF(AND(ISNUMBER(D490),ISNUMBER(E490)),E490-D490+1,"")</f>
        <v/>
      </c>
      <c r="I490" s="22">
        <f>IF(AND(ISNUMBER(F490),N(F490)&gt;0,ISNUMBER(G490)),G490/F490,"")</f>
        <v/>
      </c>
      <c r="J490" s="21">
        <f>IF(OR(A490="",B490=""),"",IF(C490=Yr_Cur,"CY",IF(C490=Yr_Prev,"PY","")))</f>
        <v/>
      </c>
      <c r="K490" s="21">
        <f>IF(J490="","",IF(J490="CY",SUMIFS(Dat_H,Dat_A,A490,Dat_B,B490,Dat_C,Yr_Prev),SUMIFS(Dat_H,Dat_A,A490,Dat_B,B490,Dat_C,Yr_Cur)))</f>
        <v/>
      </c>
      <c r="L490" s="21">
        <f>IF(J490="",0,IF(AND(ISNUMBER(H490),N(K490)&gt;0,ISNUMBER(F490),ISNUMBER(G490),OR(Sel_Market="All markets",A490=Sel_Market),COUNTIFS(Control!$B$11:$B$13,B490,Control!$C$11:$C$13,"Yes")&gt;0),1,0))</f>
        <v/>
      </c>
      <c r="M490" s="21">
        <f>IF(L490=1,IF(J490="CY",H490,K490),"")</f>
        <v/>
      </c>
      <c r="N490" s="21">
        <f>IF(L490=1,IF(J490="PY",H490,K490),"")</f>
        <v/>
      </c>
      <c r="O490" s="23">
        <f>IF(L490=1,IF(J490="PY",F490*M490/N490,F490),0)</f>
        <v/>
      </c>
      <c r="P490" s="23">
        <f>IF(L490=1,IF(J490="PY",G490*M490/N490,G490),0)</f>
        <v/>
      </c>
      <c r="Q490" s="23">
        <f>IF(AND(L490=1,J490="PY"),F490*(N490-M490)/N490,0)</f>
        <v/>
      </c>
      <c r="R490" s="23">
        <f>IF(AND(L490=1,J490="PY"),G490*(N490-M490)/N490,0)</f>
        <v/>
      </c>
      <c r="S490" s="21">
        <f>IF(COUNTA(A490:G490)=0,"",IF(OR(A490="",B490="",NOT(ISNUMBER(C490))),"Fill market, product and year",IF(COUNTIF(Control!$B$11:$B$13,B490)=0,"Unknown product",IF(COUNTIFS(Dat_A,A490,Dat_B,B490,Dat_C,C490)&gt;1,"Duplicate market/product/year",IF(OR(NOT(ISNUMBER(D490)),NOT(ISNUMBER(E490))),"Add launch date and Data through date",IF(E490&lt;D490,"Data through is before launch",IF(OR(NOT(ISNUMBER(F490)),NOT(ISNUMBER(G490))),"Add units and revenue","OK")))))))</f>
        <v/>
      </c>
    </row>
    <row r="491">
      <c r="A491" s="17" t="n"/>
      <c r="B491" s="17" t="n"/>
      <c r="C491" s="17" t="n"/>
      <c r="D491" s="18" t="n"/>
      <c r="E491" s="18" t="n"/>
      <c r="F491" s="19" t="n"/>
      <c r="G491" s="20" t="n"/>
      <c r="H491" s="21">
        <f>IF(AND(ISNUMBER(D491),ISNUMBER(E491)),E491-D491+1,"")</f>
        <v/>
      </c>
      <c r="I491" s="22">
        <f>IF(AND(ISNUMBER(F491),N(F491)&gt;0,ISNUMBER(G491)),G491/F491,"")</f>
        <v/>
      </c>
      <c r="J491" s="21">
        <f>IF(OR(A491="",B491=""),"",IF(C491=Yr_Cur,"CY",IF(C491=Yr_Prev,"PY","")))</f>
        <v/>
      </c>
      <c r="K491" s="21">
        <f>IF(J491="","",IF(J491="CY",SUMIFS(Dat_H,Dat_A,A491,Dat_B,B491,Dat_C,Yr_Prev),SUMIFS(Dat_H,Dat_A,A491,Dat_B,B491,Dat_C,Yr_Cur)))</f>
        <v/>
      </c>
      <c r="L491" s="21">
        <f>IF(J491="",0,IF(AND(ISNUMBER(H491),N(K491)&gt;0,ISNUMBER(F491),ISNUMBER(G491),OR(Sel_Market="All markets",A491=Sel_Market),COUNTIFS(Control!$B$11:$B$13,B491,Control!$C$11:$C$13,"Yes")&gt;0),1,0))</f>
        <v/>
      </c>
      <c r="M491" s="21">
        <f>IF(L491=1,IF(J491="CY",H491,K491),"")</f>
        <v/>
      </c>
      <c r="N491" s="21">
        <f>IF(L491=1,IF(J491="PY",H491,K491),"")</f>
        <v/>
      </c>
      <c r="O491" s="23">
        <f>IF(L491=1,IF(J491="PY",F491*M491/N491,F491),0)</f>
        <v/>
      </c>
      <c r="P491" s="23">
        <f>IF(L491=1,IF(J491="PY",G491*M491/N491,G491),0)</f>
        <v/>
      </c>
      <c r="Q491" s="23">
        <f>IF(AND(L491=1,J491="PY"),F491*(N491-M491)/N491,0)</f>
        <v/>
      </c>
      <c r="R491" s="23">
        <f>IF(AND(L491=1,J491="PY"),G491*(N491-M491)/N491,0)</f>
        <v/>
      </c>
      <c r="S491" s="21">
        <f>IF(COUNTA(A491:G491)=0,"",IF(OR(A491="",B491="",NOT(ISNUMBER(C491))),"Fill market, product and year",IF(COUNTIF(Control!$B$11:$B$13,B491)=0,"Unknown product",IF(COUNTIFS(Dat_A,A491,Dat_B,B491,Dat_C,C491)&gt;1,"Duplicate market/product/year",IF(OR(NOT(ISNUMBER(D491)),NOT(ISNUMBER(E491))),"Add launch date and Data through date",IF(E491&lt;D491,"Data through is before launch",IF(OR(NOT(ISNUMBER(F491)),NOT(ISNUMBER(G491))),"Add units and revenue","OK")))))))</f>
        <v/>
      </c>
    </row>
    <row r="492">
      <c r="A492" s="17" t="n"/>
      <c r="B492" s="17" t="n"/>
      <c r="C492" s="17" t="n"/>
      <c r="D492" s="18" t="n"/>
      <c r="E492" s="18" t="n"/>
      <c r="F492" s="19" t="n"/>
      <c r="G492" s="20" t="n"/>
      <c r="H492" s="21">
        <f>IF(AND(ISNUMBER(D492),ISNUMBER(E492)),E492-D492+1,"")</f>
        <v/>
      </c>
      <c r="I492" s="22">
        <f>IF(AND(ISNUMBER(F492),N(F492)&gt;0,ISNUMBER(G492)),G492/F492,"")</f>
        <v/>
      </c>
      <c r="J492" s="21">
        <f>IF(OR(A492="",B492=""),"",IF(C492=Yr_Cur,"CY",IF(C492=Yr_Prev,"PY","")))</f>
        <v/>
      </c>
      <c r="K492" s="21">
        <f>IF(J492="","",IF(J492="CY",SUMIFS(Dat_H,Dat_A,A492,Dat_B,B492,Dat_C,Yr_Prev),SUMIFS(Dat_H,Dat_A,A492,Dat_B,B492,Dat_C,Yr_Cur)))</f>
        <v/>
      </c>
      <c r="L492" s="21">
        <f>IF(J492="",0,IF(AND(ISNUMBER(H492),N(K492)&gt;0,ISNUMBER(F492),ISNUMBER(G492),OR(Sel_Market="All markets",A492=Sel_Market),COUNTIFS(Control!$B$11:$B$13,B492,Control!$C$11:$C$13,"Yes")&gt;0),1,0))</f>
        <v/>
      </c>
      <c r="M492" s="21">
        <f>IF(L492=1,IF(J492="CY",H492,K492),"")</f>
        <v/>
      </c>
      <c r="N492" s="21">
        <f>IF(L492=1,IF(J492="PY",H492,K492),"")</f>
        <v/>
      </c>
      <c r="O492" s="23">
        <f>IF(L492=1,IF(J492="PY",F492*M492/N492,F492),0)</f>
        <v/>
      </c>
      <c r="P492" s="23">
        <f>IF(L492=1,IF(J492="PY",G492*M492/N492,G492),0)</f>
        <v/>
      </c>
      <c r="Q492" s="23">
        <f>IF(AND(L492=1,J492="PY"),F492*(N492-M492)/N492,0)</f>
        <v/>
      </c>
      <c r="R492" s="23">
        <f>IF(AND(L492=1,J492="PY"),G492*(N492-M492)/N492,0)</f>
        <v/>
      </c>
      <c r="S492" s="21">
        <f>IF(COUNTA(A492:G492)=0,"",IF(OR(A492="",B492="",NOT(ISNUMBER(C492))),"Fill market, product and year",IF(COUNTIF(Control!$B$11:$B$13,B492)=0,"Unknown product",IF(COUNTIFS(Dat_A,A492,Dat_B,B492,Dat_C,C492)&gt;1,"Duplicate market/product/year",IF(OR(NOT(ISNUMBER(D492)),NOT(ISNUMBER(E492))),"Add launch date and Data through date",IF(E492&lt;D492,"Data through is before launch",IF(OR(NOT(ISNUMBER(F492)),NOT(ISNUMBER(G492))),"Add units and revenue","OK")))))))</f>
        <v/>
      </c>
    </row>
    <row r="493">
      <c r="A493" s="17" t="n"/>
      <c r="B493" s="17" t="n"/>
      <c r="C493" s="17" t="n"/>
      <c r="D493" s="18" t="n"/>
      <c r="E493" s="18" t="n"/>
      <c r="F493" s="19" t="n"/>
      <c r="G493" s="20" t="n"/>
      <c r="H493" s="21">
        <f>IF(AND(ISNUMBER(D493),ISNUMBER(E493)),E493-D493+1,"")</f>
        <v/>
      </c>
      <c r="I493" s="22">
        <f>IF(AND(ISNUMBER(F493),N(F493)&gt;0,ISNUMBER(G493)),G493/F493,"")</f>
        <v/>
      </c>
      <c r="J493" s="21">
        <f>IF(OR(A493="",B493=""),"",IF(C493=Yr_Cur,"CY",IF(C493=Yr_Prev,"PY","")))</f>
        <v/>
      </c>
      <c r="K493" s="21">
        <f>IF(J493="","",IF(J493="CY",SUMIFS(Dat_H,Dat_A,A493,Dat_B,B493,Dat_C,Yr_Prev),SUMIFS(Dat_H,Dat_A,A493,Dat_B,B493,Dat_C,Yr_Cur)))</f>
        <v/>
      </c>
      <c r="L493" s="21">
        <f>IF(J493="",0,IF(AND(ISNUMBER(H493),N(K493)&gt;0,ISNUMBER(F493),ISNUMBER(G493),OR(Sel_Market="All markets",A493=Sel_Market),COUNTIFS(Control!$B$11:$B$13,B493,Control!$C$11:$C$13,"Yes")&gt;0),1,0))</f>
        <v/>
      </c>
      <c r="M493" s="21">
        <f>IF(L493=1,IF(J493="CY",H493,K493),"")</f>
        <v/>
      </c>
      <c r="N493" s="21">
        <f>IF(L493=1,IF(J493="PY",H493,K493),"")</f>
        <v/>
      </c>
      <c r="O493" s="23">
        <f>IF(L493=1,IF(J493="PY",F493*M493/N493,F493),0)</f>
        <v/>
      </c>
      <c r="P493" s="23">
        <f>IF(L493=1,IF(J493="PY",G493*M493/N493,G493),0)</f>
        <v/>
      </c>
      <c r="Q493" s="23">
        <f>IF(AND(L493=1,J493="PY"),F493*(N493-M493)/N493,0)</f>
        <v/>
      </c>
      <c r="R493" s="23">
        <f>IF(AND(L493=1,J493="PY"),G493*(N493-M493)/N493,0)</f>
        <v/>
      </c>
      <c r="S493" s="21">
        <f>IF(COUNTA(A493:G493)=0,"",IF(OR(A493="",B493="",NOT(ISNUMBER(C493))),"Fill market, product and year",IF(COUNTIF(Control!$B$11:$B$13,B493)=0,"Unknown product",IF(COUNTIFS(Dat_A,A493,Dat_B,B493,Dat_C,C493)&gt;1,"Duplicate market/product/year",IF(OR(NOT(ISNUMBER(D493)),NOT(ISNUMBER(E493))),"Add launch date and Data through date",IF(E493&lt;D493,"Data through is before launch",IF(OR(NOT(ISNUMBER(F493)),NOT(ISNUMBER(G493))),"Add units and revenue","OK")))))))</f>
        <v/>
      </c>
    </row>
    <row r="494">
      <c r="A494" s="17" t="n"/>
      <c r="B494" s="17" t="n"/>
      <c r="C494" s="17" t="n"/>
      <c r="D494" s="18" t="n"/>
      <c r="E494" s="18" t="n"/>
      <c r="F494" s="19" t="n"/>
      <c r="G494" s="20" t="n"/>
      <c r="H494" s="21">
        <f>IF(AND(ISNUMBER(D494),ISNUMBER(E494)),E494-D494+1,"")</f>
        <v/>
      </c>
      <c r="I494" s="22">
        <f>IF(AND(ISNUMBER(F494),N(F494)&gt;0,ISNUMBER(G494)),G494/F494,"")</f>
        <v/>
      </c>
      <c r="J494" s="21">
        <f>IF(OR(A494="",B494=""),"",IF(C494=Yr_Cur,"CY",IF(C494=Yr_Prev,"PY","")))</f>
        <v/>
      </c>
      <c r="K494" s="21">
        <f>IF(J494="","",IF(J494="CY",SUMIFS(Dat_H,Dat_A,A494,Dat_B,B494,Dat_C,Yr_Prev),SUMIFS(Dat_H,Dat_A,A494,Dat_B,B494,Dat_C,Yr_Cur)))</f>
        <v/>
      </c>
      <c r="L494" s="21">
        <f>IF(J494="",0,IF(AND(ISNUMBER(H494),N(K494)&gt;0,ISNUMBER(F494),ISNUMBER(G494),OR(Sel_Market="All markets",A494=Sel_Market),COUNTIFS(Control!$B$11:$B$13,B494,Control!$C$11:$C$13,"Yes")&gt;0),1,0))</f>
        <v/>
      </c>
      <c r="M494" s="21">
        <f>IF(L494=1,IF(J494="CY",H494,K494),"")</f>
        <v/>
      </c>
      <c r="N494" s="21">
        <f>IF(L494=1,IF(J494="PY",H494,K494),"")</f>
        <v/>
      </c>
      <c r="O494" s="23">
        <f>IF(L494=1,IF(J494="PY",F494*M494/N494,F494),0)</f>
        <v/>
      </c>
      <c r="P494" s="23">
        <f>IF(L494=1,IF(J494="PY",G494*M494/N494,G494),0)</f>
        <v/>
      </c>
      <c r="Q494" s="23">
        <f>IF(AND(L494=1,J494="PY"),F494*(N494-M494)/N494,0)</f>
        <v/>
      </c>
      <c r="R494" s="23">
        <f>IF(AND(L494=1,J494="PY"),G494*(N494-M494)/N494,0)</f>
        <v/>
      </c>
      <c r="S494" s="21">
        <f>IF(COUNTA(A494:G494)=0,"",IF(OR(A494="",B494="",NOT(ISNUMBER(C494))),"Fill market, product and year",IF(COUNTIF(Control!$B$11:$B$13,B494)=0,"Unknown product",IF(COUNTIFS(Dat_A,A494,Dat_B,B494,Dat_C,C494)&gt;1,"Duplicate market/product/year",IF(OR(NOT(ISNUMBER(D494)),NOT(ISNUMBER(E494))),"Add launch date and Data through date",IF(E494&lt;D494,"Data through is before launch",IF(OR(NOT(ISNUMBER(F494)),NOT(ISNUMBER(G494))),"Add units and revenue","OK")))))))</f>
        <v/>
      </c>
    </row>
    <row r="495">
      <c r="A495" s="17" t="n"/>
      <c r="B495" s="17" t="n"/>
      <c r="C495" s="17" t="n"/>
      <c r="D495" s="18" t="n"/>
      <c r="E495" s="18" t="n"/>
      <c r="F495" s="19" t="n"/>
      <c r="G495" s="20" t="n"/>
      <c r="H495" s="21">
        <f>IF(AND(ISNUMBER(D495),ISNUMBER(E495)),E495-D495+1,"")</f>
        <v/>
      </c>
      <c r="I495" s="22">
        <f>IF(AND(ISNUMBER(F495),N(F495)&gt;0,ISNUMBER(G495)),G495/F495,"")</f>
        <v/>
      </c>
      <c r="J495" s="21">
        <f>IF(OR(A495="",B495=""),"",IF(C495=Yr_Cur,"CY",IF(C495=Yr_Prev,"PY","")))</f>
        <v/>
      </c>
      <c r="K495" s="21">
        <f>IF(J495="","",IF(J495="CY",SUMIFS(Dat_H,Dat_A,A495,Dat_B,B495,Dat_C,Yr_Prev),SUMIFS(Dat_H,Dat_A,A495,Dat_B,B495,Dat_C,Yr_Cur)))</f>
        <v/>
      </c>
      <c r="L495" s="21">
        <f>IF(J495="",0,IF(AND(ISNUMBER(H495),N(K495)&gt;0,ISNUMBER(F495),ISNUMBER(G495),OR(Sel_Market="All markets",A495=Sel_Market),COUNTIFS(Control!$B$11:$B$13,B495,Control!$C$11:$C$13,"Yes")&gt;0),1,0))</f>
        <v/>
      </c>
      <c r="M495" s="21">
        <f>IF(L495=1,IF(J495="CY",H495,K495),"")</f>
        <v/>
      </c>
      <c r="N495" s="21">
        <f>IF(L495=1,IF(J495="PY",H495,K495),"")</f>
        <v/>
      </c>
      <c r="O495" s="23">
        <f>IF(L495=1,IF(J495="PY",F495*M495/N495,F495),0)</f>
        <v/>
      </c>
      <c r="P495" s="23">
        <f>IF(L495=1,IF(J495="PY",G495*M495/N495,G495),0)</f>
        <v/>
      </c>
      <c r="Q495" s="23">
        <f>IF(AND(L495=1,J495="PY"),F495*(N495-M495)/N495,0)</f>
        <v/>
      </c>
      <c r="R495" s="23">
        <f>IF(AND(L495=1,J495="PY"),G495*(N495-M495)/N495,0)</f>
        <v/>
      </c>
      <c r="S495" s="21">
        <f>IF(COUNTA(A495:G495)=0,"",IF(OR(A495="",B495="",NOT(ISNUMBER(C495))),"Fill market, product and year",IF(COUNTIF(Control!$B$11:$B$13,B495)=0,"Unknown product",IF(COUNTIFS(Dat_A,A495,Dat_B,B495,Dat_C,C495)&gt;1,"Duplicate market/product/year",IF(OR(NOT(ISNUMBER(D495)),NOT(ISNUMBER(E495))),"Add launch date and Data through date",IF(E495&lt;D495,"Data through is before launch",IF(OR(NOT(ISNUMBER(F495)),NOT(ISNUMBER(G495))),"Add units and revenue","OK")))))))</f>
        <v/>
      </c>
    </row>
    <row r="496">
      <c r="A496" s="17" t="n"/>
      <c r="B496" s="17" t="n"/>
      <c r="C496" s="17" t="n"/>
      <c r="D496" s="18" t="n"/>
      <c r="E496" s="18" t="n"/>
      <c r="F496" s="19" t="n"/>
      <c r="G496" s="20" t="n"/>
      <c r="H496" s="21">
        <f>IF(AND(ISNUMBER(D496),ISNUMBER(E496)),E496-D496+1,"")</f>
        <v/>
      </c>
      <c r="I496" s="22">
        <f>IF(AND(ISNUMBER(F496),N(F496)&gt;0,ISNUMBER(G496)),G496/F496,"")</f>
        <v/>
      </c>
      <c r="J496" s="21">
        <f>IF(OR(A496="",B496=""),"",IF(C496=Yr_Cur,"CY",IF(C496=Yr_Prev,"PY","")))</f>
        <v/>
      </c>
      <c r="K496" s="21">
        <f>IF(J496="","",IF(J496="CY",SUMIFS(Dat_H,Dat_A,A496,Dat_B,B496,Dat_C,Yr_Prev),SUMIFS(Dat_H,Dat_A,A496,Dat_B,B496,Dat_C,Yr_Cur)))</f>
        <v/>
      </c>
      <c r="L496" s="21">
        <f>IF(J496="",0,IF(AND(ISNUMBER(H496),N(K496)&gt;0,ISNUMBER(F496),ISNUMBER(G496),OR(Sel_Market="All markets",A496=Sel_Market),COUNTIFS(Control!$B$11:$B$13,B496,Control!$C$11:$C$13,"Yes")&gt;0),1,0))</f>
        <v/>
      </c>
      <c r="M496" s="21">
        <f>IF(L496=1,IF(J496="CY",H496,K496),"")</f>
        <v/>
      </c>
      <c r="N496" s="21">
        <f>IF(L496=1,IF(J496="PY",H496,K496),"")</f>
        <v/>
      </c>
      <c r="O496" s="23">
        <f>IF(L496=1,IF(J496="PY",F496*M496/N496,F496),0)</f>
        <v/>
      </c>
      <c r="P496" s="23">
        <f>IF(L496=1,IF(J496="PY",G496*M496/N496,G496),0)</f>
        <v/>
      </c>
      <c r="Q496" s="23">
        <f>IF(AND(L496=1,J496="PY"),F496*(N496-M496)/N496,0)</f>
        <v/>
      </c>
      <c r="R496" s="23">
        <f>IF(AND(L496=1,J496="PY"),G496*(N496-M496)/N496,0)</f>
        <v/>
      </c>
      <c r="S496" s="21">
        <f>IF(COUNTA(A496:G496)=0,"",IF(OR(A496="",B496="",NOT(ISNUMBER(C496))),"Fill market, product and year",IF(COUNTIF(Control!$B$11:$B$13,B496)=0,"Unknown product",IF(COUNTIFS(Dat_A,A496,Dat_B,B496,Dat_C,C496)&gt;1,"Duplicate market/product/year",IF(OR(NOT(ISNUMBER(D496)),NOT(ISNUMBER(E496))),"Add launch date and Data through date",IF(E496&lt;D496,"Data through is before launch",IF(OR(NOT(ISNUMBER(F496)),NOT(ISNUMBER(G496))),"Add units and revenue","OK")))))))</f>
        <v/>
      </c>
    </row>
    <row r="497">
      <c r="A497" s="17" t="n"/>
      <c r="B497" s="17" t="n"/>
      <c r="C497" s="17" t="n"/>
      <c r="D497" s="18" t="n"/>
      <c r="E497" s="18" t="n"/>
      <c r="F497" s="19" t="n"/>
      <c r="G497" s="20" t="n"/>
      <c r="H497" s="21">
        <f>IF(AND(ISNUMBER(D497),ISNUMBER(E497)),E497-D497+1,"")</f>
        <v/>
      </c>
      <c r="I497" s="22">
        <f>IF(AND(ISNUMBER(F497),N(F497)&gt;0,ISNUMBER(G497)),G497/F497,"")</f>
        <v/>
      </c>
      <c r="J497" s="21">
        <f>IF(OR(A497="",B497=""),"",IF(C497=Yr_Cur,"CY",IF(C497=Yr_Prev,"PY","")))</f>
        <v/>
      </c>
      <c r="K497" s="21">
        <f>IF(J497="","",IF(J497="CY",SUMIFS(Dat_H,Dat_A,A497,Dat_B,B497,Dat_C,Yr_Prev),SUMIFS(Dat_H,Dat_A,A497,Dat_B,B497,Dat_C,Yr_Cur)))</f>
        <v/>
      </c>
      <c r="L497" s="21">
        <f>IF(J497="",0,IF(AND(ISNUMBER(H497),N(K497)&gt;0,ISNUMBER(F497),ISNUMBER(G497),OR(Sel_Market="All markets",A497=Sel_Market),COUNTIFS(Control!$B$11:$B$13,B497,Control!$C$11:$C$13,"Yes")&gt;0),1,0))</f>
        <v/>
      </c>
      <c r="M497" s="21">
        <f>IF(L497=1,IF(J497="CY",H497,K497),"")</f>
        <v/>
      </c>
      <c r="N497" s="21">
        <f>IF(L497=1,IF(J497="PY",H497,K497),"")</f>
        <v/>
      </c>
      <c r="O497" s="23">
        <f>IF(L497=1,IF(J497="PY",F497*M497/N497,F497),0)</f>
        <v/>
      </c>
      <c r="P497" s="23">
        <f>IF(L497=1,IF(J497="PY",G497*M497/N497,G497),0)</f>
        <v/>
      </c>
      <c r="Q497" s="23">
        <f>IF(AND(L497=1,J497="PY"),F497*(N497-M497)/N497,0)</f>
        <v/>
      </c>
      <c r="R497" s="23">
        <f>IF(AND(L497=1,J497="PY"),G497*(N497-M497)/N497,0)</f>
        <v/>
      </c>
      <c r="S497" s="21">
        <f>IF(COUNTA(A497:G497)=0,"",IF(OR(A497="",B497="",NOT(ISNUMBER(C497))),"Fill market, product and year",IF(COUNTIF(Control!$B$11:$B$13,B497)=0,"Unknown product",IF(COUNTIFS(Dat_A,A497,Dat_B,B497,Dat_C,C497)&gt;1,"Duplicate market/product/year",IF(OR(NOT(ISNUMBER(D497)),NOT(ISNUMBER(E497))),"Add launch date and Data through date",IF(E497&lt;D497,"Data through is before launch",IF(OR(NOT(ISNUMBER(F497)),NOT(ISNUMBER(G497))),"Add units and revenue","OK")))))))</f>
        <v/>
      </c>
    </row>
    <row r="498">
      <c r="A498" s="17" t="n"/>
      <c r="B498" s="17" t="n"/>
      <c r="C498" s="17" t="n"/>
      <c r="D498" s="18" t="n"/>
      <c r="E498" s="18" t="n"/>
      <c r="F498" s="19" t="n"/>
      <c r="G498" s="20" t="n"/>
      <c r="H498" s="21">
        <f>IF(AND(ISNUMBER(D498),ISNUMBER(E498)),E498-D498+1,"")</f>
        <v/>
      </c>
      <c r="I498" s="22">
        <f>IF(AND(ISNUMBER(F498),N(F498)&gt;0,ISNUMBER(G498)),G498/F498,"")</f>
        <v/>
      </c>
      <c r="J498" s="21">
        <f>IF(OR(A498="",B498=""),"",IF(C498=Yr_Cur,"CY",IF(C498=Yr_Prev,"PY","")))</f>
        <v/>
      </c>
      <c r="K498" s="21">
        <f>IF(J498="","",IF(J498="CY",SUMIFS(Dat_H,Dat_A,A498,Dat_B,B498,Dat_C,Yr_Prev),SUMIFS(Dat_H,Dat_A,A498,Dat_B,B498,Dat_C,Yr_Cur)))</f>
        <v/>
      </c>
      <c r="L498" s="21">
        <f>IF(J498="",0,IF(AND(ISNUMBER(H498),N(K498)&gt;0,ISNUMBER(F498),ISNUMBER(G498),OR(Sel_Market="All markets",A498=Sel_Market),COUNTIFS(Control!$B$11:$B$13,B498,Control!$C$11:$C$13,"Yes")&gt;0),1,0))</f>
        <v/>
      </c>
      <c r="M498" s="21">
        <f>IF(L498=1,IF(J498="CY",H498,K498),"")</f>
        <v/>
      </c>
      <c r="N498" s="21">
        <f>IF(L498=1,IF(J498="PY",H498,K498),"")</f>
        <v/>
      </c>
      <c r="O498" s="23">
        <f>IF(L498=1,IF(J498="PY",F498*M498/N498,F498),0)</f>
        <v/>
      </c>
      <c r="P498" s="23">
        <f>IF(L498=1,IF(J498="PY",G498*M498/N498,G498),0)</f>
        <v/>
      </c>
      <c r="Q498" s="23">
        <f>IF(AND(L498=1,J498="PY"),F498*(N498-M498)/N498,0)</f>
        <v/>
      </c>
      <c r="R498" s="23">
        <f>IF(AND(L498=1,J498="PY"),G498*(N498-M498)/N498,0)</f>
        <v/>
      </c>
      <c r="S498" s="21">
        <f>IF(COUNTA(A498:G498)=0,"",IF(OR(A498="",B498="",NOT(ISNUMBER(C498))),"Fill market, product and year",IF(COUNTIF(Control!$B$11:$B$13,B498)=0,"Unknown product",IF(COUNTIFS(Dat_A,A498,Dat_B,B498,Dat_C,C498)&gt;1,"Duplicate market/product/year",IF(OR(NOT(ISNUMBER(D498)),NOT(ISNUMBER(E498))),"Add launch date and Data through date",IF(E498&lt;D498,"Data through is before launch",IF(OR(NOT(ISNUMBER(F498)),NOT(ISNUMBER(G498))),"Add units and revenue","OK")))))))</f>
        <v/>
      </c>
    </row>
    <row r="499">
      <c r="A499" s="17" t="n"/>
      <c r="B499" s="17" t="n"/>
      <c r="C499" s="17" t="n"/>
      <c r="D499" s="18" t="n"/>
      <c r="E499" s="18" t="n"/>
      <c r="F499" s="19" t="n"/>
      <c r="G499" s="20" t="n"/>
      <c r="H499" s="21">
        <f>IF(AND(ISNUMBER(D499),ISNUMBER(E499)),E499-D499+1,"")</f>
        <v/>
      </c>
      <c r="I499" s="22">
        <f>IF(AND(ISNUMBER(F499),N(F499)&gt;0,ISNUMBER(G499)),G499/F499,"")</f>
        <v/>
      </c>
      <c r="J499" s="21">
        <f>IF(OR(A499="",B499=""),"",IF(C499=Yr_Cur,"CY",IF(C499=Yr_Prev,"PY","")))</f>
        <v/>
      </c>
      <c r="K499" s="21">
        <f>IF(J499="","",IF(J499="CY",SUMIFS(Dat_H,Dat_A,A499,Dat_B,B499,Dat_C,Yr_Prev),SUMIFS(Dat_H,Dat_A,A499,Dat_B,B499,Dat_C,Yr_Cur)))</f>
        <v/>
      </c>
      <c r="L499" s="21">
        <f>IF(J499="",0,IF(AND(ISNUMBER(H499),N(K499)&gt;0,ISNUMBER(F499),ISNUMBER(G499),OR(Sel_Market="All markets",A499=Sel_Market),COUNTIFS(Control!$B$11:$B$13,B499,Control!$C$11:$C$13,"Yes")&gt;0),1,0))</f>
        <v/>
      </c>
      <c r="M499" s="21">
        <f>IF(L499=1,IF(J499="CY",H499,K499),"")</f>
        <v/>
      </c>
      <c r="N499" s="21">
        <f>IF(L499=1,IF(J499="PY",H499,K499),"")</f>
        <v/>
      </c>
      <c r="O499" s="23">
        <f>IF(L499=1,IF(J499="PY",F499*M499/N499,F499),0)</f>
        <v/>
      </c>
      <c r="P499" s="23">
        <f>IF(L499=1,IF(J499="PY",G499*M499/N499,G499),0)</f>
        <v/>
      </c>
      <c r="Q499" s="23">
        <f>IF(AND(L499=1,J499="PY"),F499*(N499-M499)/N499,0)</f>
        <v/>
      </c>
      <c r="R499" s="23">
        <f>IF(AND(L499=1,J499="PY"),G499*(N499-M499)/N499,0)</f>
        <v/>
      </c>
      <c r="S499" s="21">
        <f>IF(COUNTA(A499:G499)=0,"",IF(OR(A499="",B499="",NOT(ISNUMBER(C499))),"Fill market, product and year",IF(COUNTIF(Control!$B$11:$B$13,B499)=0,"Unknown product",IF(COUNTIFS(Dat_A,A499,Dat_B,B499,Dat_C,C499)&gt;1,"Duplicate market/product/year",IF(OR(NOT(ISNUMBER(D499)),NOT(ISNUMBER(E499))),"Add launch date and Data through date",IF(E499&lt;D499,"Data through is before launch",IF(OR(NOT(ISNUMBER(F499)),NOT(ISNUMBER(G499))),"Add units and revenue","OK")))))))</f>
        <v/>
      </c>
    </row>
    <row r="500">
      <c r="A500" s="17" t="n"/>
      <c r="B500" s="17" t="n"/>
      <c r="C500" s="17" t="n"/>
      <c r="D500" s="18" t="n"/>
      <c r="E500" s="18" t="n"/>
      <c r="F500" s="19" t="n"/>
      <c r="G500" s="20" t="n"/>
      <c r="H500" s="21">
        <f>IF(AND(ISNUMBER(D500),ISNUMBER(E500)),E500-D500+1,"")</f>
        <v/>
      </c>
      <c r="I500" s="22">
        <f>IF(AND(ISNUMBER(F500),N(F500)&gt;0,ISNUMBER(G500)),G500/F500,"")</f>
        <v/>
      </c>
      <c r="J500" s="21">
        <f>IF(OR(A500="",B500=""),"",IF(C500=Yr_Cur,"CY",IF(C500=Yr_Prev,"PY","")))</f>
        <v/>
      </c>
      <c r="K500" s="21">
        <f>IF(J500="","",IF(J500="CY",SUMIFS(Dat_H,Dat_A,A500,Dat_B,B500,Dat_C,Yr_Prev),SUMIFS(Dat_H,Dat_A,A500,Dat_B,B500,Dat_C,Yr_Cur)))</f>
        <v/>
      </c>
      <c r="L500" s="21">
        <f>IF(J500="",0,IF(AND(ISNUMBER(H500),N(K500)&gt;0,ISNUMBER(F500),ISNUMBER(G500),OR(Sel_Market="All markets",A500=Sel_Market),COUNTIFS(Control!$B$11:$B$13,B500,Control!$C$11:$C$13,"Yes")&gt;0),1,0))</f>
        <v/>
      </c>
      <c r="M500" s="21">
        <f>IF(L500=1,IF(J500="CY",H500,K500),"")</f>
        <v/>
      </c>
      <c r="N500" s="21">
        <f>IF(L500=1,IF(J500="PY",H500,K500),"")</f>
        <v/>
      </c>
      <c r="O500" s="23">
        <f>IF(L500=1,IF(J500="PY",F500*M500/N500,F500),0)</f>
        <v/>
      </c>
      <c r="P500" s="23">
        <f>IF(L500=1,IF(J500="PY",G500*M500/N500,G500),0)</f>
        <v/>
      </c>
      <c r="Q500" s="23">
        <f>IF(AND(L500=1,J500="PY"),F500*(N500-M500)/N500,0)</f>
        <v/>
      </c>
      <c r="R500" s="23">
        <f>IF(AND(L500=1,J500="PY"),G500*(N500-M500)/N500,0)</f>
        <v/>
      </c>
      <c r="S500" s="21">
        <f>IF(COUNTA(A500:G500)=0,"",IF(OR(A500="",B500="",NOT(ISNUMBER(C500))),"Fill market, product and year",IF(COUNTIF(Control!$B$11:$B$13,B500)=0,"Unknown product",IF(COUNTIFS(Dat_A,A500,Dat_B,B500,Dat_C,C500)&gt;1,"Duplicate market/product/year",IF(OR(NOT(ISNUMBER(D500)),NOT(ISNUMBER(E500))),"Add launch date and Data through date",IF(E500&lt;D500,"Data through is before launch",IF(OR(NOT(ISNUMBER(F500)),NOT(ISNUMBER(G500))),"Add units and revenue","OK")))))))</f>
        <v/>
      </c>
    </row>
    <row r="501">
      <c r="A501" s="17" t="n"/>
      <c r="B501" s="17" t="n"/>
      <c r="C501" s="17" t="n"/>
      <c r="D501" s="18" t="n"/>
      <c r="E501" s="18" t="n"/>
      <c r="F501" s="19" t="n"/>
      <c r="G501" s="20" t="n"/>
      <c r="H501" s="21">
        <f>IF(AND(ISNUMBER(D501),ISNUMBER(E501)),E501-D501+1,"")</f>
        <v/>
      </c>
      <c r="I501" s="22">
        <f>IF(AND(ISNUMBER(F501),N(F501)&gt;0,ISNUMBER(G501)),G501/F501,"")</f>
        <v/>
      </c>
      <c r="J501" s="21">
        <f>IF(OR(A501="",B501=""),"",IF(C501=Yr_Cur,"CY",IF(C501=Yr_Prev,"PY","")))</f>
        <v/>
      </c>
      <c r="K501" s="21">
        <f>IF(J501="","",IF(J501="CY",SUMIFS(Dat_H,Dat_A,A501,Dat_B,B501,Dat_C,Yr_Prev),SUMIFS(Dat_H,Dat_A,A501,Dat_B,B501,Dat_C,Yr_Cur)))</f>
        <v/>
      </c>
      <c r="L501" s="21">
        <f>IF(J501="",0,IF(AND(ISNUMBER(H501),N(K501)&gt;0,ISNUMBER(F501),ISNUMBER(G501),OR(Sel_Market="All markets",A501=Sel_Market),COUNTIFS(Control!$B$11:$B$13,B501,Control!$C$11:$C$13,"Yes")&gt;0),1,0))</f>
        <v/>
      </c>
      <c r="M501" s="21">
        <f>IF(L501=1,IF(J501="CY",H501,K501),"")</f>
        <v/>
      </c>
      <c r="N501" s="21">
        <f>IF(L501=1,IF(J501="PY",H501,K501),"")</f>
        <v/>
      </c>
      <c r="O501" s="23">
        <f>IF(L501=1,IF(J501="PY",F501*M501/N501,F501),0)</f>
        <v/>
      </c>
      <c r="P501" s="23">
        <f>IF(L501=1,IF(J501="PY",G501*M501/N501,G501),0)</f>
        <v/>
      </c>
      <c r="Q501" s="23">
        <f>IF(AND(L501=1,J501="PY"),F501*(N501-M501)/N501,0)</f>
        <v/>
      </c>
      <c r="R501" s="23">
        <f>IF(AND(L501=1,J501="PY"),G501*(N501-M501)/N501,0)</f>
        <v/>
      </c>
      <c r="S501" s="21">
        <f>IF(COUNTA(A501:G501)=0,"",IF(OR(A501="",B501="",NOT(ISNUMBER(C501))),"Fill market, product and year",IF(COUNTIF(Control!$B$11:$B$13,B501)=0,"Unknown product",IF(COUNTIFS(Dat_A,A501,Dat_B,B501,Dat_C,C501)&gt;1,"Duplicate market/product/year",IF(OR(NOT(ISNUMBER(D501)),NOT(ISNUMBER(E501))),"Add launch date and Data through date",IF(E501&lt;D501,"Data through is before launch",IF(OR(NOT(ISNUMBER(F501)),NOT(ISNUMBER(G501))),"Add units and revenue","OK")))))))</f>
        <v/>
      </c>
    </row>
    <row r="502">
      <c r="A502" s="17" t="n"/>
      <c r="B502" s="17" t="n"/>
      <c r="C502" s="17" t="n"/>
      <c r="D502" s="18" t="n"/>
      <c r="E502" s="18" t="n"/>
      <c r="F502" s="19" t="n"/>
      <c r="G502" s="20" t="n"/>
      <c r="H502" s="21">
        <f>IF(AND(ISNUMBER(D502),ISNUMBER(E502)),E502-D502+1,"")</f>
        <v/>
      </c>
      <c r="I502" s="22">
        <f>IF(AND(ISNUMBER(F502),N(F502)&gt;0,ISNUMBER(G502)),G502/F502,"")</f>
        <v/>
      </c>
      <c r="J502" s="21">
        <f>IF(OR(A502="",B502=""),"",IF(C502=Yr_Cur,"CY",IF(C502=Yr_Prev,"PY","")))</f>
        <v/>
      </c>
      <c r="K502" s="21">
        <f>IF(J502="","",IF(J502="CY",SUMIFS(Dat_H,Dat_A,A502,Dat_B,B502,Dat_C,Yr_Prev),SUMIFS(Dat_H,Dat_A,A502,Dat_B,B502,Dat_C,Yr_Cur)))</f>
        <v/>
      </c>
      <c r="L502" s="21">
        <f>IF(J502="",0,IF(AND(ISNUMBER(H502),N(K502)&gt;0,ISNUMBER(F502),ISNUMBER(G502),OR(Sel_Market="All markets",A502=Sel_Market),COUNTIFS(Control!$B$11:$B$13,B502,Control!$C$11:$C$13,"Yes")&gt;0),1,0))</f>
        <v/>
      </c>
      <c r="M502" s="21">
        <f>IF(L502=1,IF(J502="CY",H502,K502),"")</f>
        <v/>
      </c>
      <c r="N502" s="21">
        <f>IF(L502=1,IF(J502="PY",H502,K502),"")</f>
        <v/>
      </c>
      <c r="O502" s="23">
        <f>IF(L502=1,IF(J502="PY",F502*M502/N502,F502),0)</f>
        <v/>
      </c>
      <c r="P502" s="23">
        <f>IF(L502=1,IF(J502="PY",G502*M502/N502,G502),0)</f>
        <v/>
      </c>
      <c r="Q502" s="23">
        <f>IF(AND(L502=1,J502="PY"),F502*(N502-M502)/N502,0)</f>
        <v/>
      </c>
      <c r="R502" s="23">
        <f>IF(AND(L502=1,J502="PY"),G502*(N502-M502)/N502,0)</f>
        <v/>
      </c>
      <c r="S502" s="21">
        <f>IF(COUNTA(A502:G502)=0,"",IF(OR(A502="",B502="",NOT(ISNUMBER(C502))),"Fill market, product and year",IF(COUNTIF(Control!$B$11:$B$13,B502)=0,"Unknown product",IF(COUNTIFS(Dat_A,A502,Dat_B,B502,Dat_C,C502)&gt;1,"Duplicate market/product/year",IF(OR(NOT(ISNUMBER(D502)),NOT(ISNUMBER(E502))),"Add launch date and Data through date",IF(E502&lt;D502,"Data through is before launch",IF(OR(NOT(ISNUMBER(F502)),NOT(ISNUMBER(G502))),"Add units and revenue","OK")))))))</f>
        <v/>
      </c>
    </row>
    <row r="503">
      <c r="A503" s="17" t="n"/>
      <c r="B503" s="17" t="n"/>
      <c r="C503" s="17" t="n"/>
      <c r="D503" s="18" t="n"/>
      <c r="E503" s="18" t="n"/>
      <c r="F503" s="19" t="n"/>
      <c r="G503" s="20" t="n"/>
      <c r="H503" s="21">
        <f>IF(AND(ISNUMBER(D503),ISNUMBER(E503)),E503-D503+1,"")</f>
        <v/>
      </c>
      <c r="I503" s="22">
        <f>IF(AND(ISNUMBER(F503),N(F503)&gt;0,ISNUMBER(G503)),G503/F503,"")</f>
        <v/>
      </c>
      <c r="J503" s="21">
        <f>IF(OR(A503="",B503=""),"",IF(C503=Yr_Cur,"CY",IF(C503=Yr_Prev,"PY","")))</f>
        <v/>
      </c>
      <c r="K503" s="21">
        <f>IF(J503="","",IF(J503="CY",SUMIFS(Dat_H,Dat_A,A503,Dat_B,B503,Dat_C,Yr_Prev),SUMIFS(Dat_H,Dat_A,A503,Dat_B,B503,Dat_C,Yr_Cur)))</f>
        <v/>
      </c>
      <c r="L503" s="21">
        <f>IF(J503="",0,IF(AND(ISNUMBER(H503),N(K503)&gt;0,ISNUMBER(F503),ISNUMBER(G503),OR(Sel_Market="All markets",A503=Sel_Market),COUNTIFS(Control!$B$11:$B$13,B503,Control!$C$11:$C$13,"Yes")&gt;0),1,0))</f>
        <v/>
      </c>
      <c r="M503" s="21">
        <f>IF(L503=1,IF(J503="CY",H503,K503),"")</f>
        <v/>
      </c>
      <c r="N503" s="21">
        <f>IF(L503=1,IF(J503="PY",H503,K503),"")</f>
        <v/>
      </c>
      <c r="O503" s="23">
        <f>IF(L503=1,IF(J503="PY",F503*M503/N503,F503),0)</f>
        <v/>
      </c>
      <c r="P503" s="23">
        <f>IF(L503=1,IF(J503="PY",G503*M503/N503,G503),0)</f>
        <v/>
      </c>
      <c r="Q503" s="23">
        <f>IF(AND(L503=1,J503="PY"),F503*(N503-M503)/N503,0)</f>
        <v/>
      </c>
      <c r="R503" s="23">
        <f>IF(AND(L503=1,J503="PY"),G503*(N503-M503)/N503,0)</f>
        <v/>
      </c>
      <c r="S503" s="21">
        <f>IF(COUNTA(A503:G503)=0,"",IF(OR(A503="",B503="",NOT(ISNUMBER(C503))),"Fill market, product and year",IF(COUNTIF(Control!$B$11:$B$13,B503)=0,"Unknown product",IF(COUNTIFS(Dat_A,A503,Dat_B,B503,Dat_C,C503)&gt;1,"Duplicate market/product/year",IF(OR(NOT(ISNUMBER(D503)),NOT(ISNUMBER(E503))),"Add launch date and Data through date",IF(E503&lt;D503,"Data through is before launch",IF(OR(NOT(ISNUMBER(F503)),NOT(ISNUMBER(G503))),"Add units and revenue","OK")))))))</f>
        <v/>
      </c>
    </row>
    <row r="504">
      <c r="A504" s="17" t="n"/>
      <c r="B504" s="17" t="n"/>
      <c r="C504" s="17" t="n"/>
      <c r="D504" s="18" t="n"/>
      <c r="E504" s="18" t="n"/>
      <c r="F504" s="19" t="n"/>
      <c r="G504" s="20" t="n"/>
      <c r="H504" s="21">
        <f>IF(AND(ISNUMBER(D504),ISNUMBER(E504)),E504-D504+1,"")</f>
        <v/>
      </c>
      <c r="I504" s="22">
        <f>IF(AND(ISNUMBER(F504),N(F504)&gt;0,ISNUMBER(G504)),G504/F504,"")</f>
        <v/>
      </c>
      <c r="J504" s="21">
        <f>IF(OR(A504="",B504=""),"",IF(C504=Yr_Cur,"CY",IF(C504=Yr_Prev,"PY","")))</f>
        <v/>
      </c>
      <c r="K504" s="21">
        <f>IF(J504="","",IF(J504="CY",SUMIFS(Dat_H,Dat_A,A504,Dat_B,B504,Dat_C,Yr_Prev),SUMIFS(Dat_H,Dat_A,A504,Dat_B,B504,Dat_C,Yr_Cur)))</f>
        <v/>
      </c>
      <c r="L504" s="21">
        <f>IF(J504="",0,IF(AND(ISNUMBER(H504),N(K504)&gt;0,ISNUMBER(F504),ISNUMBER(G504),OR(Sel_Market="All markets",A504=Sel_Market),COUNTIFS(Control!$B$11:$B$13,B504,Control!$C$11:$C$13,"Yes")&gt;0),1,0))</f>
        <v/>
      </c>
      <c r="M504" s="21">
        <f>IF(L504=1,IF(J504="CY",H504,K504),"")</f>
        <v/>
      </c>
      <c r="N504" s="21">
        <f>IF(L504=1,IF(J504="PY",H504,K504),"")</f>
        <v/>
      </c>
      <c r="O504" s="23">
        <f>IF(L504=1,IF(J504="PY",F504*M504/N504,F504),0)</f>
        <v/>
      </c>
      <c r="P504" s="23">
        <f>IF(L504=1,IF(J504="PY",G504*M504/N504,G504),0)</f>
        <v/>
      </c>
      <c r="Q504" s="23">
        <f>IF(AND(L504=1,J504="PY"),F504*(N504-M504)/N504,0)</f>
        <v/>
      </c>
      <c r="R504" s="23">
        <f>IF(AND(L504=1,J504="PY"),G504*(N504-M504)/N504,0)</f>
        <v/>
      </c>
      <c r="S504" s="21">
        <f>IF(COUNTA(A504:G504)=0,"",IF(OR(A504="",B504="",NOT(ISNUMBER(C504))),"Fill market, product and year",IF(COUNTIF(Control!$B$11:$B$13,B504)=0,"Unknown product",IF(COUNTIFS(Dat_A,A504,Dat_B,B504,Dat_C,C504)&gt;1,"Duplicate market/product/year",IF(OR(NOT(ISNUMBER(D504)),NOT(ISNUMBER(E504))),"Add launch date and Data through date",IF(E504&lt;D504,"Data through is before launch",IF(OR(NOT(ISNUMBER(F504)),NOT(ISNUMBER(G504))),"Add units and revenue","OK")))))))</f>
        <v/>
      </c>
    </row>
    <row r="505">
      <c r="A505" s="17" t="n"/>
      <c r="B505" s="17" t="n"/>
      <c r="C505" s="17" t="n"/>
      <c r="D505" s="18" t="n"/>
      <c r="E505" s="18" t="n"/>
      <c r="F505" s="19" t="n"/>
      <c r="G505" s="20" t="n"/>
      <c r="H505" s="21">
        <f>IF(AND(ISNUMBER(D505),ISNUMBER(E505)),E505-D505+1,"")</f>
        <v/>
      </c>
      <c r="I505" s="22">
        <f>IF(AND(ISNUMBER(F505),N(F505)&gt;0,ISNUMBER(G505)),G505/F505,"")</f>
        <v/>
      </c>
      <c r="J505" s="21">
        <f>IF(OR(A505="",B505=""),"",IF(C505=Yr_Cur,"CY",IF(C505=Yr_Prev,"PY","")))</f>
        <v/>
      </c>
      <c r="K505" s="21">
        <f>IF(J505="","",IF(J505="CY",SUMIFS(Dat_H,Dat_A,A505,Dat_B,B505,Dat_C,Yr_Prev),SUMIFS(Dat_H,Dat_A,A505,Dat_B,B505,Dat_C,Yr_Cur)))</f>
        <v/>
      </c>
      <c r="L505" s="21">
        <f>IF(J505="",0,IF(AND(ISNUMBER(H505),N(K505)&gt;0,ISNUMBER(F505),ISNUMBER(G505),OR(Sel_Market="All markets",A505=Sel_Market),COUNTIFS(Control!$B$11:$B$13,B505,Control!$C$11:$C$13,"Yes")&gt;0),1,0))</f>
        <v/>
      </c>
      <c r="M505" s="21">
        <f>IF(L505=1,IF(J505="CY",H505,K505),"")</f>
        <v/>
      </c>
      <c r="N505" s="21">
        <f>IF(L505=1,IF(J505="PY",H505,K505),"")</f>
        <v/>
      </c>
      <c r="O505" s="23">
        <f>IF(L505=1,IF(J505="PY",F505*M505/N505,F505),0)</f>
        <v/>
      </c>
      <c r="P505" s="23">
        <f>IF(L505=1,IF(J505="PY",G505*M505/N505,G505),0)</f>
        <v/>
      </c>
      <c r="Q505" s="23">
        <f>IF(AND(L505=1,J505="PY"),F505*(N505-M505)/N505,0)</f>
        <v/>
      </c>
      <c r="R505" s="23">
        <f>IF(AND(L505=1,J505="PY"),G505*(N505-M505)/N505,0)</f>
        <v/>
      </c>
      <c r="S505" s="21">
        <f>IF(COUNTA(A505:G505)=0,"",IF(OR(A505="",B505="",NOT(ISNUMBER(C505))),"Fill market, product and year",IF(COUNTIF(Control!$B$11:$B$13,B505)=0,"Unknown product",IF(COUNTIFS(Dat_A,A505,Dat_B,B505,Dat_C,C505)&gt;1,"Duplicate market/product/year",IF(OR(NOT(ISNUMBER(D505)),NOT(ISNUMBER(E505))),"Add launch date and Data through date",IF(E505&lt;D505,"Data through is before launch",IF(OR(NOT(ISNUMBER(F505)),NOT(ISNUMBER(G505))),"Add units and revenue","OK")))))))</f>
        <v/>
      </c>
    </row>
  </sheetData>
  <conditionalFormatting sqref="S6:S505">
    <cfRule type="expression" priority="1" dxfId="0">
      <formula>AND(S6&lt;&gt;"",S6&lt;&gt;"OK")</formula>
    </cfRule>
    <cfRule type="expression" priority="2" dxfId="1">
      <formula>S6="OK"</formula>
    </cfRule>
  </conditionalFormatting>
  <dataValidations count="4">
    <dataValidation sqref="A6:A505" showDropDown="0" showInputMessage="0" showErrorMessage="1" allowBlank="1" errorTitle="Unknown market" error="Add the market to the MARKETS list on the Control sheet first." type="list">
      <formula1>=Market_Entry</formula1>
    </dataValidation>
    <dataValidation sqref="B6:B505" showDropDown="0" showInputMessage="0" showErrorMessage="0" allowBlank="1" type="list">
      <formula1>=Control!$B$11:$B$13</formula1>
    </dataValidation>
    <dataValidation sqref="C6:C505" showDropDown="0" showInputMessage="0" showErrorMessage="0" allowBlank="1" type="whole" operator="between">
      <formula1>2000</formula1>
      <formula2>2100</formula2>
    </dataValidation>
    <dataValidation sqref="D6:E505" showDropDown="0" showInputMessage="0" showErrorMessage="0" allowBlank="1" errorTitle="Date needed" error="Enter a valid date.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16180"/>
    <outlinePr summaryBelow="1" summaryRight="1"/>
    <pageSetUpPr fitToPage="1"/>
  </sheetPr>
  <dimension ref="A1:BH36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</cols>
  <sheetData>
    <row r="1" ht="15" customHeight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</row>
    <row r="2" ht="15" customHeight="1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24" t="n"/>
      <c r="BC2" s="24" t="n"/>
      <c r="BD2" s="24" t="n"/>
      <c r="BE2" s="24" t="n"/>
      <c r="BF2" s="24" t="n"/>
      <c r="BG2" s="24" t="n"/>
      <c r="BH2" s="24" t="n"/>
    </row>
    <row r="3" ht="15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</row>
    <row r="4" ht="15" customHeight="1">
      <c r="A4" s="24" t="n"/>
      <c r="B4" s="24" t="n"/>
      <c r="C4" s="24" t="n"/>
      <c r="D4" s="24" t="n"/>
      <c r="E4" s="25">
        <f>Calc!$B$41</f>
        <v/>
      </c>
      <c r="AM4" s="26">
        <f>Calc!$B$40</f>
        <v/>
      </c>
      <c r="BE4" s="24" t="n"/>
      <c r="BF4" s="24" t="n"/>
      <c r="BG4" s="24" t="n"/>
      <c r="BH4" s="24" t="n"/>
    </row>
    <row r="5" ht="15" customHeight="1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4" t="n"/>
      <c r="BA5" s="24" t="n"/>
      <c r="BB5" s="24" t="n"/>
      <c r="BC5" s="24" t="n"/>
      <c r="BD5" s="24" t="n"/>
      <c r="BE5" s="24" t="n"/>
      <c r="BF5" s="24" t="n"/>
      <c r="BG5" s="24" t="n"/>
      <c r="BH5" s="24" t="n"/>
    </row>
    <row r="6" ht="15" customHeight="1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</row>
    <row r="7" ht="15" customHeight="1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</row>
    <row r="8" ht="15" customHeight="1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</row>
    <row r="9" ht="15" customHeight="1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</row>
    <row r="10" ht="15" customHeight="1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</row>
    <row r="11" ht="15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</row>
    <row r="12" ht="15" customHeight="1">
      <c r="A12" s="24" t="n"/>
      <c r="B12" s="24" t="n"/>
      <c r="C12" s="24" t="n"/>
      <c r="D12" s="24" t="n"/>
      <c r="E12" s="27" t="inlineStr">
        <is>
          <t>Advent Calendar Sales</t>
        </is>
      </c>
      <c r="BE12" s="24" t="n"/>
      <c r="BF12" s="24" t="n"/>
      <c r="BG12" s="24" t="n"/>
      <c r="BH12" s="24" t="n"/>
    </row>
    <row r="13" ht="15" customHeight="1">
      <c r="A13" s="24" t="n"/>
      <c r="B13" s="24" t="n"/>
      <c r="C13" s="24" t="n"/>
      <c r="D13" s="24" t="n"/>
      <c r="BE13" s="24" t="n"/>
      <c r="BF13" s="24" t="n"/>
      <c r="BG13" s="24" t="n"/>
      <c r="BH13" s="24" t="n"/>
    </row>
    <row r="14" ht="15" customHeight="1">
      <c r="A14" s="24" t="n"/>
      <c r="B14" s="24" t="n"/>
      <c r="C14" s="24" t="n"/>
      <c r="D14" s="24" t="n"/>
      <c r="BE14" s="24" t="n"/>
      <c r="BF14" s="24" t="n"/>
      <c r="BG14" s="24" t="n"/>
      <c r="BH14" s="24" t="n"/>
    </row>
    <row r="15" ht="15" customHeight="1">
      <c r="A15" s="24" t="n"/>
      <c r="B15" s="24" t="n"/>
      <c r="C15" s="24" t="n"/>
      <c r="D15" s="24" t="n"/>
      <c r="BE15" s="24" t="n"/>
      <c r="BF15" s="24" t="n"/>
      <c r="BG15" s="24" t="n"/>
      <c r="BH15" s="24" t="n"/>
    </row>
    <row r="16" ht="15" customHeight="1">
      <c r="A16" s="24" t="n"/>
      <c r="B16" s="24" t="n"/>
      <c r="C16" s="24" t="n"/>
      <c r="D16" s="24" t="n"/>
      <c r="BE16" s="24" t="n"/>
      <c r="BF16" s="24" t="n"/>
      <c r="BG16" s="24" t="n"/>
      <c r="BH16" s="24" t="n"/>
    </row>
    <row r="17" ht="15" customHeight="1">
      <c r="A17" s="24" t="n"/>
      <c r="B17" s="24" t="n"/>
      <c r="C17" s="24" t="n"/>
      <c r="D17" s="24" t="n"/>
      <c r="BE17" s="24" t="n"/>
      <c r="BF17" s="24" t="n"/>
      <c r="BG17" s="24" t="n"/>
      <c r="BH17" s="24" t="n"/>
    </row>
    <row r="18" ht="15" customHeight="1">
      <c r="A18" s="24" t="n"/>
      <c r="B18" s="24" t="n"/>
      <c r="C18" s="24" t="n"/>
      <c r="D18" s="24" t="n"/>
      <c r="BE18" s="24" t="n"/>
      <c r="BF18" s="24" t="n"/>
      <c r="BG18" s="24" t="n"/>
      <c r="BH18" s="24" t="n"/>
    </row>
    <row r="19" ht="15" customHeight="1">
      <c r="A19" s="24" t="n"/>
      <c r="B19" s="24" t="n"/>
      <c r="C19" s="24" t="n"/>
      <c r="D19" s="24" t="n"/>
      <c r="BE19" s="24" t="n"/>
      <c r="BF19" s="24" t="n"/>
      <c r="BG19" s="24" t="n"/>
      <c r="BH19" s="24" t="n"/>
    </row>
    <row r="20" ht="15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</row>
    <row r="21" ht="15" customHeight="1">
      <c r="A21" s="24" t="n"/>
      <c r="B21" s="24" t="n"/>
      <c r="C21" s="24" t="n"/>
      <c r="D21" s="24" t="n"/>
      <c r="E21" s="28">
        <f>Calc!$B$42</f>
        <v/>
      </c>
      <c r="BE21" s="24" t="n"/>
      <c r="BF21" s="24" t="n"/>
      <c r="BG21" s="24" t="n"/>
      <c r="BH21" s="24" t="n"/>
    </row>
    <row r="22" ht="15" customHeight="1">
      <c r="A22" s="24" t="n"/>
      <c r="B22" s="24" t="n"/>
      <c r="C22" s="24" t="n"/>
      <c r="D22" s="24" t="n"/>
      <c r="BE22" s="24" t="n"/>
      <c r="BF22" s="24" t="n"/>
      <c r="BG22" s="24" t="n"/>
      <c r="BH22" s="24" t="n"/>
    </row>
    <row r="23" ht="15" customHeight="1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</row>
    <row r="24" ht="15" customHeight="1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</row>
    <row r="25" ht="15" customHeight="1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</row>
    <row r="26" ht="1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</row>
    <row r="27" ht="15" customHeight="1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</row>
    <row r="28" ht="15" customHeight="1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</row>
    <row r="29" ht="15" customHeight="1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</row>
    <row r="30" ht="15" customHeight="1">
      <c r="A30" s="24" t="n"/>
      <c r="B30" s="24" t="n"/>
      <c r="C30" s="24" t="n"/>
      <c r="D30" s="24" t="n"/>
      <c r="E30" s="29">
        <f>Calc!$B$43</f>
        <v/>
      </c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29">
        <f>Calc!$B$44</f>
        <v/>
      </c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29">
        <f>Calc!$B$45</f>
        <v/>
      </c>
      <c r="AN30" s="30" t="n"/>
      <c r="AO30" s="30" t="n"/>
      <c r="AP30" s="30" t="n"/>
      <c r="AQ30" s="30" t="n"/>
      <c r="AR30" s="30" t="n"/>
      <c r="AS30" s="30" t="n"/>
      <c r="AT30" s="30" t="n"/>
      <c r="AU30" s="30" t="n"/>
      <c r="AV30" s="30" t="n"/>
      <c r="AW30" s="30" t="n"/>
      <c r="AX30" s="30" t="n"/>
      <c r="AY30" s="30" t="n"/>
      <c r="AZ30" s="30" t="n"/>
      <c r="BA30" s="30" t="n"/>
      <c r="BB30" s="30" t="n"/>
      <c r="BC30" s="30" t="n"/>
      <c r="BD30" s="30" t="n"/>
      <c r="BE30" s="24" t="n"/>
      <c r="BF30" s="24" t="n"/>
      <c r="BG30" s="24" t="n"/>
      <c r="BH30" s="24" t="n"/>
    </row>
    <row r="31" ht="15" customHeight="1">
      <c r="A31" s="24" t="n"/>
      <c r="B31" s="24" t="n"/>
      <c r="C31" s="24" t="n"/>
      <c r="D31" s="24" t="n"/>
      <c r="BE31" s="24" t="n"/>
      <c r="BF31" s="24" t="n"/>
      <c r="BG31" s="24" t="n"/>
      <c r="BH31" s="24" t="n"/>
    </row>
    <row r="32" ht="15" customHeight="1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</row>
    <row r="33" ht="15" customHeight="1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</row>
    <row r="34" ht="15" customHeight="1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</row>
    <row r="35" ht="15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</row>
    <row r="36" ht="15" customHeight="1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</row>
  </sheetData>
  <mergeCells count="7">
    <mergeCell ref="E4:AL4"/>
    <mergeCell ref="E21:BD22"/>
    <mergeCell ref="E12:BD19"/>
    <mergeCell ref="AM30:BD31"/>
    <mergeCell ref="V30:AL31"/>
    <mergeCell ref="AM4:BD4"/>
    <mergeCell ref="E30:U3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416180"/>
    <outlinePr summaryBelow="1" summaryRight="1"/>
    <pageSetUpPr fitToPage="1"/>
  </sheetPr>
  <dimension ref="A1:BH36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</cols>
  <sheetData>
    <row r="1" ht="15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  <c r="AL1" s="31" t="n"/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</row>
    <row r="2" ht="15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  <c r="AM2" s="31" t="n"/>
      <c r="AN2" s="31" t="n"/>
      <c r="AO2" s="31" t="n"/>
      <c r="AP2" s="31" t="n"/>
      <c r="AQ2" s="31" t="n"/>
      <c r="AR2" s="31" t="n"/>
      <c r="AS2" s="31" t="n"/>
      <c r="AT2" s="31" t="n"/>
      <c r="AU2" s="31" t="n"/>
      <c r="AV2" s="31" t="n"/>
      <c r="AW2" s="31" t="n"/>
      <c r="AX2" s="31" t="n"/>
      <c r="AY2" s="31" t="n"/>
      <c r="AZ2" s="31" t="n"/>
      <c r="BA2" s="31" t="n"/>
      <c r="BB2" s="31" t="n"/>
      <c r="BC2" s="31" t="n"/>
      <c r="BD2" s="31" t="n"/>
      <c r="BE2" s="31" t="n"/>
      <c r="BF2" s="31" t="n"/>
      <c r="BG2" s="31" t="n"/>
      <c r="BH2" s="31" t="n"/>
    </row>
    <row r="3" ht="15" customHeight="1">
      <c r="A3" s="31" t="n"/>
      <c r="B3" s="31" t="n"/>
      <c r="C3" s="31" t="n"/>
      <c r="D3" s="31" t="n"/>
      <c r="E3" s="32">
        <f>Calc!$B$46</f>
        <v/>
      </c>
      <c r="AM3" s="33">
        <f>"MARKET: "&amp;UPPER(Calc!$B$23)</f>
        <v/>
      </c>
      <c r="BE3" s="31" t="n"/>
      <c r="BF3" s="31" t="n"/>
      <c r="BG3" s="31" t="n"/>
      <c r="BH3" s="31" t="n"/>
    </row>
    <row r="4" ht="15" customHeight="1">
      <c r="A4" s="31" t="n"/>
      <c r="B4" s="31" t="n"/>
      <c r="C4" s="31" t="n"/>
      <c r="D4" s="31" t="n"/>
      <c r="E4" s="34">
        <f>Calc!$B$47</f>
        <v/>
      </c>
      <c r="BE4" s="31" t="n"/>
      <c r="BF4" s="31" t="n"/>
      <c r="BG4" s="31" t="n"/>
      <c r="BH4" s="31" t="n"/>
    </row>
    <row r="5" ht="15" customHeight="1">
      <c r="A5" s="31" t="n"/>
      <c r="B5" s="31" t="n"/>
      <c r="C5" s="31" t="n"/>
      <c r="D5" s="31" t="n"/>
      <c r="BE5" s="31" t="n"/>
      <c r="BF5" s="31" t="n"/>
      <c r="BG5" s="31" t="n"/>
      <c r="BH5" s="31" t="n"/>
    </row>
    <row r="6" ht="15" customHeight="1">
      <c r="A6" s="31" t="n"/>
      <c r="B6" s="31" t="n"/>
      <c r="C6" s="31" t="n"/>
      <c r="D6" s="31" t="n"/>
      <c r="BE6" s="31" t="n"/>
      <c r="BF6" s="31" t="n"/>
      <c r="BG6" s="31" t="n"/>
      <c r="BH6" s="31" t="n"/>
    </row>
    <row r="7" ht="15" customHeight="1">
      <c r="A7" s="31" t="n"/>
      <c r="B7" s="31" t="n"/>
      <c r="C7" s="31" t="n"/>
      <c r="D7" s="31" t="n"/>
      <c r="BE7" s="31" t="n"/>
      <c r="BF7" s="31" t="n"/>
      <c r="BG7" s="31" t="n"/>
      <c r="BH7" s="31" t="n"/>
    </row>
    <row r="8" ht="15" customHeight="1">
      <c r="A8" s="31" t="n"/>
      <c r="B8" s="31" t="n"/>
      <c r="C8" s="31" t="n"/>
      <c r="D8" s="31" t="n"/>
      <c r="BE8" s="31" t="n"/>
      <c r="BF8" s="31" t="n"/>
      <c r="BG8" s="31" t="n"/>
      <c r="BH8" s="31" t="n"/>
    </row>
    <row r="9" ht="15" customHeight="1">
      <c r="A9" s="31" t="n"/>
      <c r="B9" s="31" t="n"/>
      <c r="C9" s="31" t="n"/>
      <c r="D9" s="31" t="n"/>
      <c r="BE9" s="31" t="n"/>
      <c r="BF9" s="31" t="n"/>
      <c r="BG9" s="31" t="n"/>
      <c r="BH9" s="31" t="n"/>
    </row>
    <row r="10" ht="15" customHeight="1">
      <c r="A10" s="31" t="n"/>
      <c r="B10" s="31" t="n"/>
      <c r="C10" s="31" t="n"/>
      <c r="D10" s="35" t="inlineStr">
        <is>
          <t>+</t>
        </is>
      </c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6" t="inlineStr">
        <is>
          <t>+</t>
        </is>
      </c>
      <c r="V10" s="35" t="inlineStr">
        <is>
          <t>+</t>
        </is>
      </c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6" t="inlineStr">
        <is>
          <t>+</t>
        </is>
      </c>
      <c r="AN10" s="35" t="inlineStr">
        <is>
          <t>+</t>
        </is>
      </c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6" t="inlineStr">
        <is>
          <t>+</t>
        </is>
      </c>
      <c r="BF10" s="31" t="n"/>
      <c r="BG10" s="31" t="n"/>
      <c r="BH10" s="31" t="n"/>
    </row>
    <row r="11" ht="15" customHeight="1">
      <c r="A11" s="31" t="n"/>
      <c r="B11" s="31" t="n"/>
      <c r="C11" s="31" t="n"/>
      <c r="D11" s="31" t="n"/>
      <c r="E11" s="37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9" t="n"/>
      <c r="U11" s="31" t="n"/>
      <c r="V11" s="31" t="n"/>
      <c r="W11" s="37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9" t="n"/>
      <c r="AM11" s="31" t="n"/>
      <c r="AN11" s="31" t="n"/>
      <c r="AO11" s="37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9" t="n"/>
      <c r="BE11" s="31" t="n"/>
      <c r="BF11" s="31" t="n"/>
      <c r="BG11" s="31" t="n"/>
      <c r="BH11" s="31" t="n"/>
    </row>
    <row r="12" ht="15" customHeight="1">
      <c r="A12" s="31" t="n"/>
      <c r="B12" s="31" t="n"/>
      <c r="C12" s="31" t="n"/>
      <c r="D12" s="31" t="n"/>
      <c r="E12" s="40" t="n"/>
      <c r="F12" s="41" t="inlineStr">
        <is>
          <t>Total</t>
        </is>
      </c>
      <c r="T12" s="42" t="n"/>
      <c r="U12" s="31" t="n"/>
      <c r="V12" s="31" t="n"/>
      <c r="W12" s="40" t="n"/>
      <c r="X12" s="41">
        <f>Calc!$A$6</f>
        <v/>
      </c>
      <c r="AL12" s="42" t="n"/>
      <c r="AM12" s="31" t="n"/>
      <c r="AN12" s="31" t="n"/>
      <c r="AO12" s="40" t="n"/>
      <c r="AP12" s="41">
        <f>Calc!$A$7</f>
        <v/>
      </c>
      <c r="BD12" s="42" t="n"/>
      <c r="BE12" s="31" t="n"/>
      <c r="BF12" s="31" t="n"/>
      <c r="BG12" s="31" t="n"/>
      <c r="BH12" s="31" t="n"/>
    </row>
    <row r="13" ht="15" customHeight="1">
      <c r="A13" s="31" t="n"/>
      <c r="B13" s="31" t="n"/>
      <c r="C13" s="31" t="n"/>
      <c r="D13" s="31" t="n"/>
      <c r="E13" s="40" t="n"/>
      <c r="T13" s="42" t="n"/>
      <c r="U13" s="31" t="n"/>
      <c r="V13" s="31" t="n"/>
      <c r="W13" s="40" t="n"/>
      <c r="AL13" s="42" t="n"/>
      <c r="AM13" s="31" t="n"/>
      <c r="AN13" s="31" t="n"/>
      <c r="AO13" s="40" t="n"/>
      <c r="BD13" s="42" t="n"/>
      <c r="BE13" s="31" t="n"/>
      <c r="BF13" s="31" t="n"/>
      <c r="BG13" s="31" t="n"/>
      <c r="BH13" s="31" t="n"/>
    </row>
    <row r="14" ht="15" customHeight="1">
      <c r="A14" s="31" t="n"/>
      <c r="B14" s="31" t="n"/>
      <c r="C14" s="31" t="n"/>
      <c r="D14" s="31" t="n"/>
      <c r="E14" s="40" t="n"/>
      <c r="F14" s="43">
        <f>IF(Calc!$B$9=1,Calc!$D$9,"–")</f>
        <v/>
      </c>
      <c r="T14" s="42" t="n"/>
      <c r="U14" s="31" t="n"/>
      <c r="V14" s="31" t="n"/>
      <c r="W14" s="40" t="n"/>
      <c r="X14" s="43">
        <f>IF(Calc!$B$6=1,Calc!$D$6,"–")</f>
        <v/>
      </c>
      <c r="AL14" s="42" t="n"/>
      <c r="AM14" s="31" t="n"/>
      <c r="AN14" s="31" t="n"/>
      <c r="AO14" s="40" t="n"/>
      <c r="AP14" s="43">
        <f>IF(Calc!$B$7=1,Calc!$D$7,"–")</f>
        <v/>
      </c>
      <c r="BD14" s="42" t="n"/>
      <c r="BE14" s="31" t="n"/>
      <c r="BF14" s="31" t="n"/>
      <c r="BG14" s="31" t="n"/>
      <c r="BH14" s="31" t="n"/>
    </row>
    <row r="15" ht="15" customHeight="1">
      <c r="A15" s="31" t="n"/>
      <c r="B15" s="31" t="n"/>
      <c r="C15" s="31" t="n"/>
      <c r="D15" s="31" t="n"/>
      <c r="E15" s="40" t="n"/>
      <c r="T15" s="42" t="n"/>
      <c r="U15" s="31" t="n"/>
      <c r="V15" s="31" t="n"/>
      <c r="W15" s="40" t="n"/>
      <c r="AL15" s="42" t="n"/>
      <c r="AM15" s="31" t="n"/>
      <c r="AN15" s="31" t="n"/>
      <c r="AO15" s="40" t="n"/>
      <c r="BD15" s="42" t="n"/>
      <c r="BE15" s="31" t="n"/>
      <c r="BF15" s="31" t="n"/>
      <c r="BG15" s="31" t="n"/>
      <c r="BH15" s="31" t="n"/>
    </row>
    <row r="16" ht="15" customHeight="1">
      <c r="A16" s="31" t="n"/>
      <c r="B16" s="31" t="n"/>
      <c r="C16" s="31" t="n"/>
      <c r="D16" s="31" t="n"/>
      <c r="E16" s="40" t="n"/>
      <c r="T16" s="42" t="n"/>
      <c r="U16" s="31" t="n"/>
      <c r="V16" s="31" t="n"/>
      <c r="W16" s="40" t="n"/>
      <c r="AL16" s="42" t="n"/>
      <c r="AM16" s="31" t="n"/>
      <c r="AN16" s="31" t="n"/>
      <c r="AO16" s="40" t="n"/>
      <c r="BD16" s="42" t="n"/>
      <c r="BE16" s="31" t="n"/>
      <c r="BF16" s="31" t="n"/>
      <c r="BG16" s="31" t="n"/>
      <c r="BH16" s="31" t="n"/>
    </row>
    <row r="17" ht="15" customHeight="1">
      <c r="A17" s="31" t="n"/>
      <c r="B17" s="31" t="n"/>
      <c r="C17" s="31" t="n"/>
      <c r="D17" s="31" t="n"/>
      <c r="E17" s="40" t="n"/>
      <c r="T17" s="42" t="n"/>
      <c r="U17" s="31" t="n"/>
      <c r="V17" s="31" t="n"/>
      <c r="W17" s="40" t="n"/>
      <c r="AL17" s="42" t="n"/>
      <c r="AM17" s="31" t="n"/>
      <c r="AN17" s="31" t="n"/>
      <c r="AO17" s="40" t="n"/>
      <c r="BD17" s="42" t="n"/>
      <c r="BE17" s="31" t="n"/>
      <c r="BF17" s="31" t="n"/>
      <c r="BG17" s="31" t="n"/>
      <c r="BH17" s="31" t="n"/>
    </row>
    <row r="18" ht="15" customHeight="1">
      <c r="A18" s="31" t="n"/>
      <c r="B18" s="31" t="n"/>
      <c r="C18" s="31" t="n"/>
      <c r="D18" s="31" t="n"/>
      <c r="E18" s="40" t="n"/>
      <c r="F18" s="44">
        <f>IF(Calc!$B$9=1,Calc!$L$9,"–")</f>
        <v/>
      </c>
      <c r="K18" s="45" t="inlineStr">
        <is>
          <t>same date</t>
        </is>
      </c>
      <c r="T18" s="42" t="n"/>
      <c r="U18" s="31" t="n"/>
      <c r="V18" s="31" t="n"/>
      <c r="W18" s="40" t="n"/>
      <c r="X18" s="44">
        <f>IF(Calc!$B$6=1,Calc!$L$6,"–")</f>
        <v/>
      </c>
      <c r="AC18" s="45" t="inlineStr">
        <is>
          <t>same date</t>
        </is>
      </c>
      <c r="AL18" s="42" t="n"/>
      <c r="AM18" s="31" t="n"/>
      <c r="AN18" s="31" t="n"/>
      <c r="AO18" s="40" t="n"/>
      <c r="AP18" s="44">
        <f>IF(Calc!$B$7=1,Calc!$L$7,"–")</f>
        <v/>
      </c>
      <c r="AU18" s="45" t="inlineStr">
        <is>
          <t>same date</t>
        </is>
      </c>
      <c r="BD18" s="42" t="n"/>
      <c r="BE18" s="31" t="n"/>
      <c r="BF18" s="31" t="n"/>
      <c r="BG18" s="31" t="n"/>
      <c r="BH18" s="31" t="n"/>
    </row>
    <row r="19" ht="15" customHeight="1">
      <c r="A19" s="31" t="n"/>
      <c r="B19" s="31" t="n"/>
      <c r="C19" s="31" t="n"/>
      <c r="D19" s="31" t="n"/>
      <c r="E19" s="40" t="n"/>
      <c r="F19" s="44">
        <f>IF(Calc!$B$9=1,Calc!$N$9,"–")</f>
        <v/>
      </c>
      <c r="K19" s="45" t="inlineStr">
        <is>
          <t>equal days</t>
        </is>
      </c>
      <c r="T19" s="42" t="n"/>
      <c r="U19" s="31" t="n"/>
      <c r="V19" s="31" t="n"/>
      <c r="W19" s="40" t="n"/>
      <c r="X19" s="44">
        <f>IF(Calc!$B$6=1,Calc!$N$6,"–")</f>
        <v/>
      </c>
      <c r="AC19" s="45" t="inlineStr">
        <is>
          <t>equal days</t>
        </is>
      </c>
      <c r="AL19" s="42" t="n"/>
      <c r="AM19" s="31" t="n"/>
      <c r="AN19" s="31" t="n"/>
      <c r="AO19" s="40" t="n"/>
      <c r="AP19" s="44">
        <f>IF(Calc!$B$7=1,Calc!$N$7,"–")</f>
        <v/>
      </c>
      <c r="AU19" s="45" t="inlineStr">
        <is>
          <t>equal days</t>
        </is>
      </c>
      <c r="BD19" s="42" t="n"/>
      <c r="BE19" s="31" t="n"/>
      <c r="BF19" s="31" t="n"/>
      <c r="BG19" s="31" t="n"/>
      <c r="BH19" s="31" t="n"/>
    </row>
    <row r="20" ht="15" customHeight="1">
      <c r="A20" s="31" t="n"/>
      <c r="B20" s="31" t="n"/>
      <c r="C20" s="31" t="n"/>
      <c r="D20" s="31" t="n"/>
      <c r="E20" s="40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2" t="n"/>
      <c r="U20" s="31" t="n"/>
      <c r="V20" s="31" t="n"/>
      <c r="W20" s="40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2" t="n"/>
      <c r="AM20" s="31" t="n"/>
      <c r="AN20" s="31" t="n"/>
      <c r="AO20" s="40" t="n"/>
      <c r="AP20" s="46" t="n"/>
      <c r="AQ20" s="46" t="n"/>
      <c r="AR20" s="46" t="n"/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46" t="n"/>
      <c r="BC20" s="46" t="n"/>
      <c r="BD20" s="42" t="n"/>
      <c r="BE20" s="31" t="n"/>
      <c r="BF20" s="31" t="n"/>
      <c r="BG20" s="31" t="n"/>
      <c r="BH20" s="31" t="n"/>
    </row>
    <row r="21" ht="15" customHeight="1">
      <c r="A21" s="31" t="n"/>
      <c r="B21" s="31" t="n"/>
      <c r="C21" s="31" t="n"/>
      <c r="D21" s="31" t="n"/>
      <c r="E21" s="40" t="n"/>
      <c r="F21" s="47">
        <f>IF(Calc!$B$9=1,Calc!$C$9,"–")</f>
        <v/>
      </c>
      <c r="T21" s="42" t="n"/>
      <c r="U21" s="31" t="n"/>
      <c r="V21" s="31" t="n"/>
      <c r="W21" s="40" t="n"/>
      <c r="X21" s="47">
        <f>IF(Calc!$B$6=1,Calc!$C$6,"–")</f>
        <v/>
      </c>
      <c r="AL21" s="42" t="n"/>
      <c r="AM21" s="31" t="n"/>
      <c r="AN21" s="31" t="n"/>
      <c r="AO21" s="40" t="n"/>
      <c r="AP21" s="47">
        <f>IF(Calc!$B$7=1,Calc!$C$7,"–")</f>
        <v/>
      </c>
      <c r="BD21" s="42" t="n"/>
      <c r="BE21" s="31" t="n"/>
      <c r="BF21" s="31" t="n"/>
      <c r="BG21" s="31" t="n"/>
      <c r="BH21" s="31" t="n"/>
    </row>
    <row r="22" ht="15" customHeight="1">
      <c r="A22" s="31" t="n"/>
      <c r="B22" s="31" t="n"/>
      <c r="C22" s="31" t="n"/>
      <c r="D22" s="31" t="n"/>
      <c r="E22" s="40" t="n"/>
      <c r="T22" s="42" t="n"/>
      <c r="U22" s="31" t="n"/>
      <c r="V22" s="31" t="n"/>
      <c r="W22" s="40" t="n"/>
      <c r="AL22" s="42" t="n"/>
      <c r="AM22" s="31" t="n"/>
      <c r="AN22" s="31" t="n"/>
      <c r="AO22" s="40" t="n"/>
      <c r="BD22" s="42" t="n"/>
      <c r="BE22" s="31" t="n"/>
      <c r="BF22" s="31" t="n"/>
      <c r="BG22" s="31" t="n"/>
      <c r="BH22" s="31" t="n"/>
    </row>
    <row r="23" ht="15" customHeight="1">
      <c r="A23" s="31" t="n"/>
      <c r="B23" s="31" t="n"/>
      <c r="C23" s="31" t="n"/>
      <c r="D23" s="31" t="n"/>
      <c r="E23" s="40" t="n"/>
      <c r="T23" s="42" t="n"/>
      <c r="U23" s="31" t="n"/>
      <c r="V23" s="31" t="n"/>
      <c r="W23" s="40" t="n"/>
      <c r="AL23" s="42" t="n"/>
      <c r="AM23" s="31" t="n"/>
      <c r="AN23" s="31" t="n"/>
      <c r="AO23" s="40" t="n"/>
      <c r="BD23" s="42" t="n"/>
      <c r="BE23" s="31" t="n"/>
      <c r="BF23" s="31" t="n"/>
      <c r="BG23" s="31" t="n"/>
      <c r="BH23" s="31" t="n"/>
    </row>
    <row r="24" ht="15" customHeight="1">
      <c r="A24" s="31" t="n"/>
      <c r="B24" s="31" t="n"/>
      <c r="C24" s="31" t="n"/>
      <c r="D24" s="31" t="n"/>
      <c r="E24" s="40" t="n"/>
      <c r="F24" s="44">
        <f>IF(Calc!$B$9=1,Calc!$K$9,"–")</f>
        <v/>
      </c>
      <c r="K24" s="45" t="inlineStr">
        <is>
          <t>same date</t>
        </is>
      </c>
      <c r="T24" s="42" t="n"/>
      <c r="U24" s="31" t="n"/>
      <c r="V24" s="31" t="n"/>
      <c r="W24" s="40" t="n"/>
      <c r="X24" s="44">
        <f>IF(Calc!$B$6=1,Calc!$K$6,"–")</f>
        <v/>
      </c>
      <c r="AC24" s="45">
        <f>"units vs "&amp;Yr_Prev</f>
        <v/>
      </c>
      <c r="AL24" s="42" t="n"/>
      <c r="AM24" s="31" t="n"/>
      <c r="AN24" s="31" t="n"/>
      <c r="AO24" s="40" t="n"/>
      <c r="AP24" s="44">
        <f>IF(Calc!$B$7=1,Calc!$K$7,"–")</f>
        <v/>
      </c>
      <c r="AU24" s="45">
        <f>"units vs "&amp;Yr_Prev</f>
        <v/>
      </c>
      <c r="BD24" s="42" t="n"/>
      <c r="BE24" s="31" t="n"/>
      <c r="BF24" s="31" t="n"/>
      <c r="BG24" s="31" t="n"/>
      <c r="BH24" s="31" t="n"/>
    </row>
    <row r="25" ht="15" customHeight="1">
      <c r="A25" s="31" t="n"/>
      <c r="B25" s="31" t="n"/>
      <c r="C25" s="31" t="n"/>
      <c r="D25" s="31" t="n"/>
      <c r="E25" s="40" t="n"/>
      <c r="F25" s="44">
        <f>IF(Calc!$B$9=1,Calc!$M$9,"–")</f>
        <v/>
      </c>
      <c r="K25" s="45" t="inlineStr">
        <is>
          <t>equal days</t>
        </is>
      </c>
      <c r="T25" s="42" t="n"/>
      <c r="U25" s="31" t="n"/>
      <c r="V25" s="31" t="n"/>
      <c r="W25" s="40" t="n"/>
      <c r="X25" s="44">
        <f>IF(Calc!$B$6=1,Calc!$Q$6,"–")</f>
        <v/>
      </c>
      <c r="AC25" s="45" t="inlineStr">
        <is>
          <t>avg price</t>
        </is>
      </c>
      <c r="AL25" s="42" t="n"/>
      <c r="AM25" s="31" t="n"/>
      <c r="AN25" s="31" t="n"/>
      <c r="AO25" s="40" t="n"/>
      <c r="AP25" s="44">
        <f>IF(Calc!$B$7=1,Calc!$Q$7,"–")</f>
        <v/>
      </c>
      <c r="AU25" s="45" t="inlineStr">
        <is>
          <t>avg price</t>
        </is>
      </c>
      <c r="BD25" s="42" t="n"/>
      <c r="BE25" s="31" t="n"/>
      <c r="BF25" s="31" t="n"/>
      <c r="BG25" s="31" t="n"/>
      <c r="BH25" s="31" t="n"/>
    </row>
    <row r="26" ht="15" customHeight="1">
      <c r="A26" s="31" t="n"/>
      <c r="B26" s="31" t="n"/>
      <c r="C26" s="31" t="n"/>
      <c r="D26" s="31" t="n"/>
      <c r="E26" s="40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2" t="n"/>
      <c r="U26" s="31" t="n"/>
      <c r="V26" s="31" t="n"/>
      <c r="W26" s="40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46" t="n"/>
      <c r="AI26" s="46" t="n"/>
      <c r="AJ26" s="46" t="n"/>
      <c r="AK26" s="46" t="n"/>
      <c r="AL26" s="42" t="n"/>
      <c r="AM26" s="31" t="n"/>
      <c r="AN26" s="31" t="n"/>
      <c r="AO26" s="40" t="n"/>
      <c r="AP26" s="46" t="n"/>
      <c r="AQ26" s="46" t="n"/>
      <c r="AR26" s="46" t="n"/>
      <c r="AS26" s="46" t="n"/>
      <c r="AT26" s="46" t="n"/>
      <c r="AU26" s="46" t="n"/>
      <c r="AV26" s="46" t="n"/>
      <c r="AW26" s="46" t="n"/>
      <c r="AX26" s="46" t="n"/>
      <c r="AY26" s="46" t="n"/>
      <c r="AZ26" s="46" t="n"/>
      <c r="BA26" s="46" t="n"/>
      <c r="BB26" s="46" t="n"/>
      <c r="BC26" s="46" t="n"/>
      <c r="BD26" s="42" t="n"/>
      <c r="BE26" s="31" t="n"/>
      <c r="BF26" s="31" t="n"/>
      <c r="BG26" s="31" t="n"/>
      <c r="BH26" s="31" t="n"/>
    </row>
    <row r="27" ht="15" customHeight="1">
      <c r="A27" s="31" t="n"/>
      <c r="B27" s="31" t="n"/>
      <c r="C27" s="31" t="n"/>
      <c r="D27" s="31" t="n"/>
      <c r="E27" s="40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2" t="n"/>
      <c r="U27" s="31" t="n"/>
      <c r="V27" s="31" t="n"/>
      <c r="W27" s="40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6" t="n"/>
      <c r="AK27" s="46" t="n"/>
      <c r="AL27" s="42" t="n"/>
      <c r="AM27" s="31" t="n"/>
      <c r="AN27" s="31" t="n"/>
      <c r="AO27" s="40" t="n"/>
      <c r="AP27" s="46" t="n"/>
      <c r="AQ27" s="46" t="n"/>
      <c r="AR27" s="46" t="n"/>
      <c r="AS27" s="46" t="n"/>
      <c r="AT27" s="46" t="n"/>
      <c r="AU27" s="46" t="n"/>
      <c r="AV27" s="46" t="n"/>
      <c r="AW27" s="46" t="n"/>
      <c r="AX27" s="46" t="n"/>
      <c r="AY27" s="46" t="n"/>
      <c r="AZ27" s="46" t="n"/>
      <c r="BA27" s="46" t="n"/>
      <c r="BB27" s="46" t="n"/>
      <c r="BC27" s="46" t="n"/>
      <c r="BD27" s="42" t="n"/>
      <c r="BE27" s="31" t="n"/>
      <c r="BF27" s="31" t="n"/>
      <c r="BG27" s="31" t="n"/>
      <c r="BH27" s="31" t="n"/>
    </row>
    <row r="28" ht="15" customHeight="1">
      <c r="A28" s="31" t="n"/>
      <c r="B28" s="31" t="n"/>
      <c r="C28" s="31" t="n"/>
      <c r="D28" s="31" t="n"/>
      <c r="E28" s="48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50" t="n"/>
      <c r="U28" s="31" t="n"/>
      <c r="V28" s="31" t="n"/>
      <c r="W28" s="48" t="n"/>
      <c r="X28" s="49" t="n"/>
      <c r="Y28" s="49" t="n"/>
      <c r="Z28" s="49" t="n"/>
      <c r="AA28" s="49" t="n"/>
      <c r="AB28" s="49" t="n"/>
      <c r="AC28" s="49" t="n"/>
      <c r="AD28" s="49" t="n"/>
      <c r="AE28" s="49" t="n"/>
      <c r="AF28" s="49" t="n"/>
      <c r="AG28" s="49" t="n"/>
      <c r="AH28" s="49" t="n"/>
      <c r="AI28" s="49" t="n"/>
      <c r="AJ28" s="49" t="n"/>
      <c r="AK28" s="49" t="n"/>
      <c r="AL28" s="50" t="n"/>
      <c r="AM28" s="31" t="n"/>
      <c r="AN28" s="31" t="n"/>
      <c r="AO28" s="48" t="n"/>
      <c r="AP28" s="49" t="n"/>
      <c r="AQ28" s="49" t="n"/>
      <c r="AR28" s="49" t="n"/>
      <c r="AS28" s="49" t="n"/>
      <c r="AT28" s="49" t="n"/>
      <c r="AU28" s="49" t="n"/>
      <c r="AV28" s="49" t="n"/>
      <c r="AW28" s="49" t="n"/>
      <c r="AX28" s="49" t="n"/>
      <c r="AY28" s="49" t="n"/>
      <c r="AZ28" s="49" t="n"/>
      <c r="BA28" s="49" t="n"/>
      <c r="BB28" s="49" t="n"/>
      <c r="BC28" s="49" t="n"/>
      <c r="BD28" s="50" t="n"/>
      <c r="BE28" s="31" t="n"/>
      <c r="BF28" s="31" t="n"/>
      <c r="BG28" s="31" t="n"/>
      <c r="BH28" s="31" t="n"/>
    </row>
    <row r="29" ht="15" customHeight="1">
      <c r="A29" s="31" t="n"/>
      <c r="B29" s="31" t="n"/>
      <c r="C29" s="31" t="n"/>
      <c r="D29" s="51" t="inlineStr">
        <is>
          <t>+</t>
        </is>
      </c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52" t="inlineStr">
        <is>
          <t>+</t>
        </is>
      </c>
      <c r="V29" s="51" t="inlineStr">
        <is>
          <t>+</t>
        </is>
      </c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  <c r="AG29" s="31" t="n"/>
      <c r="AH29" s="31" t="n"/>
      <c r="AI29" s="31" t="n"/>
      <c r="AJ29" s="31" t="n"/>
      <c r="AK29" s="31" t="n"/>
      <c r="AL29" s="31" t="n"/>
      <c r="AM29" s="52" t="inlineStr">
        <is>
          <t>+</t>
        </is>
      </c>
      <c r="AN29" s="51" t="inlineStr">
        <is>
          <t>+</t>
        </is>
      </c>
      <c r="AO29" s="31" t="n"/>
      <c r="AP29" s="31" t="n"/>
      <c r="AQ29" s="31" t="n"/>
      <c r="AR29" s="31" t="n"/>
      <c r="AS29" s="31" t="n"/>
      <c r="AT29" s="31" t="n"/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  <c r="BD29" s="31" t="n"/>
      <c r="BE29" s="52" t="inlineStr">
        <is>
          <t>+</t>
        </is>
      </c>
      <c r="BF29" s="31" t="n"/>
      <c r="BG29" s="31" t="n"/>
      <c r="BH29" s="31" t="n"/>
    </row>
    <row r="30" ht="15" customHeight="1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D30" s="31" t="n"/>
      <c r="BE30" s="31" t="n"/>
      <c r="BF30" s="31" t="n"/>
      <c r="BG30" s="31" t="n"/>
      <c r="BH30" s="31" t="n"/>
    </row>
    <row r="31" ht="15" customHeight="1">
      <c r="A31" s="31" t="n"/>
      <c r="B31" s="31" t="n"/>
      <c r="C31" s="31" t="n"/>
      <c r="D31" s="31" t="n"/>
      <c r="E31" s="24" t="n"/>
      <c r="F31" s="53">
        <f>Calc!$B$54</f>
        <v/>
      </c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54">
        <f>Calc!$B$55</f>
        <v/>
      </c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31" t="n"/>
      <c r="BF31" s="31" t="n"/>
      <c r="BG31" s="31" t="n"/>
      <c r="BH31" s="31" t="n"/>
    </row>
    <row r="32" ht="15" customHeight="1">
      <c r="A32" s="31" t="n"/>
      <c r="B32" s="31" t="n"/>
      <c r="C32" s="31" t="n"/>
      <c r="D32" s="31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31" t="n"/>
      <c r="BF32" s="31" t="n"/>
      <c r="BG32" s="31" t="n"/>
      <c r="BH32" s="31" t="n"/>
    </row>
    <row r="33" ht="15" customHeight="1">
      <c r="A33" s="31" t="n"/>
      <c r="B33" s="31" t="n"/>
      <c r="C33" s="31" t="n"/>
      <c r="D33" s="31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31" t="n"/>
      <c r="BF33" s="31" t="n"/>
      <c r="BG33" s="31" t="n"/>
      <c r="BH33" s="31" t="n"/>
    </row>
    <row r="34" ht="15" customHeight="1">
      <c r="A34" s="31" t="n"/>
      <c r="B34" s="31" t="n"/>
      <c r="C34" s="31" t="n"/>
      <c r="D34" s="31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31" t="n"/>
      <c r="BF34" s="31" t="n"/>
      <c r="BG34" s="31" t="n"/>
      <c r="BH34" s="31" t="n"/>
    </row>
    <row r="35" ht="15" customHeight="1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  <c r="AL35" s="31" t="n"/>
      <c r="AM35" s="31" t="n"/>
      <c r="AN35" s="31" t="n"/>
      <c r="AO35" s="31" t="n"/>
      <c r="AP35" s="31" t="n"/>
      <c r="AQ35" s="31" t="n"/>
      <c r="AR35" s="31" t="n"/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31" t="n"/>
      <c r="BF35" s="31" t="n"/>
      <c r="BG35" s="31" t="n"/>
      <c r="BH35" s="31" t="n"/>
    </row>
    <row r="36" ht="15" customHeight="1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</row>
  </sheetData>
  <mergeCells count="38">
    <mergeCell ref="AP18:AT18"/>
    <mergeCell ref="AC24:AK24"/>
    <mergeCell ref="AU24:BC24"/>
    <mergeCell ref="X21:AK23"/>
    <mergeCell ref="F19:J19"/>
    <mergeCell ref="F25:J25"/>
    <mergeCell ref="AP24:AT24"/>
    <mergeCell ref="AP21:BC23"/>
    <mergeCell ref="X14:AK17"/>
    <mergeCell ref="F31:V34"/>
    <mergeCell ref="F24:J24"/>
    <mergeCell ref="AC19:AK19"/>
    <mergeCell ref="AC25:AK25"/>
    <mergeCell ref="AU25:BC25"/>
    <mergeCell ref="F18:J18"/>
    <mergeCell ref="X19:AB19"/>
    <mergeCell ref="AP19:AT19"/>
    <mergeCell ref="X18:AB18"/>
    <mergeCell ref="E3:AL3"/>
    <mergeCell ref="F14:S17"/>
    <mergeCell ref="F21:S23"/>
    <mergeCell ref="AM3:BD3"/>
    <mergeCell ref="K19:S19"/>
    <mergeCell ref="X24:AB24"/>
    <mergeCell ref="E4:BD9"/>
    <mergeCell ref="X12:AK13"/>
    <mergeCell ref="AP12:BC13"/>
    <mergeCell ref="K18:S18"/>
    <mergeCell ref="AU18:BC18"/>
    <mergeCell ref="K25:S25"/>
    <mergeCell ref="K24:S24"/>
    <mergeCell ref="X31:BC34"/>
    <mergeCell ref="X25:AB25"/>
    <mergeCell ref="F12:S13"/>
    <mergeCell ref="AU19:BC19"/>
    <mergeCell ref="AP25:AT25"/>
    <mergeCell ref="AC18:AK18"/>
    <mergeCell ref="AP14:BC17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416180"/>
    <outlinePr summaryBelow="1" summaryRight="1"/>
    <pageSetUpPr fitToPage="1"/>
  </sheetPr>
  <dimension ref="A1:BH36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</cols>
  <sheetData>
    <row r="1" ht="15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  <c r="AL1" s="31" t="n"/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</row>
    <row r="2" ht="15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  <c r="AM2" s="31" t="n"/>
      <c r="AN2" s="31" t="n"/>
      <c r="AO2" s="31" t="n"/>
      <c r="AP2" s="31" t="n"/>
      <c r="AQ2" s="31" t="n"/>
      <c r="AR2" s="31" t="n"/>
      <c r="AS2" s="31" t="n"/>
      <c r="AT2" s="31" t="n"/>
      <c r="AU2" s="31" t="n"/>
      <c r="AV2" s="31" t="n"/>
      <c r="AW2" s="31" t="n"/>
      <c r="AX2" s="31" t="n"/>
      <c r="AY2" s="31" t="n"/>
      <c r="AZ2" s="31" t="n"/>
      <c r="BA2" s="31" t="n"/>
      <c r="BB2" s="31" t="n"/>
      <c r="BC2" s="31" t="n"/>
      <c r="BD2" s="31" t="n"/>
      <c r="BE2" s="31" t="n"/>
      <c r="BF2" s="31" t="n"/>
      <c r="BG2" s="31" t="n"/>
      <c r="BH2" s="31" t="n"/>
    </row>
    <row r="3" ht="15" customHeight="1">
      <c r="A3" s="31" t="n"/>
      <c r="B3" s="31" t="n"/>
      <c r="C3" s="31" t="n"/>
      <c r="D3" s="31" t="n"/>
      <c r="E3" s="32">
        <f>Calc!$B$51</f>
        <v/>
      </c>
      <c r="AM3" s="33">
        <f>"MARKET: "&amp;UPPER(Calc!$B$23)</f>
        <v/>
      </c>
      <c r="BE3" s="31" t="n"/>
      <c r="BF3" s="31" t="n"/>
      <c r="BG3" s="31" t="n"/>
      <c r="BH3" s="31" t="n"/>
    </row>
    <row r="4" ht="15" customHeight="1">
      <c r="A4" s="31" t="n"/>
      <c r="B4" s="31" t="n"/>
      <c r="C4" s="31" t="n"/>
      <c r="D4" s="31" t="n"/>
      <c r="E4" s="34">
        <f>Calc!$B$48</f>
        <v/>
      </c>
      <c r="BE4" s="31" t="n"/>
      <c r="BF4" s="31" t="n"/>
      <c r="BG4" s="31" t="n"/>
      <c r="BH4" s="31" t="n"/>
    </row>
    <row r="5" ht="15" customHeight="1">
      <c r="A5" s="31" t="n"/>
      <c r="B5" s="31" t="n"/>
      <c r="C5" s="31" t="n"/>
      <c r="D5" s="31" t="n"/>
      <c r="BE5" s="31" t="n"/>
      <c r="BF5" s="31" t="n"/>
      <c r="BG5" s="31" t="n"/>
      <c r="BH5" s="31" t="n"/>
    </row>
    <row r="6" ht="15" customHeight="1">
      <c r="A6" s="31" t="n"/>
      <c r="B6" s="31" t="n"/>
      <c r="C6" s="31" t="n"/>
      <c r="D6" s="31" t="n"/>
      <c r="BE6" s="31" t="n"/>
      <c r="BF6" s="31" t="n"/>
      <c r="BG6" s="31" t="n"/>
      <c r="BH6" s="31" t="n"/>
    </row>
    <row r="7" ht="15" customHeight="1">
      <c r="A7" s="31" t="n"/>
      <c r="B7" s="31" t="n"/>
      <c r="C7" s="31" t="n"/>
      <c r="D7" s="31" t="n"/>
      <c r="BE7" s="31" t="n"/>
      <c r="BF7" s="31" t="n"/>
      <c r="BG7" s="31" t="n"/>
      <c r="BH7" s="31" t="n"/>
    </row>
    <row r="8" ht="15" customHeight="1">
      <c r="A8" s="31" t="n"/>
      <c r="B8" s="31" t="n"/>
      <c r="C8" s="31" t="n"/>
      <c r="D8" s="31" t="n"/>
      <c r="BE8" s="31" t="n"/>
      <c r="BF8" s="31" t="n"/>
      <c r="BG8" s="31" t="n"/>
      <c r="BH8" s="31" t="n"/>
    </row>
    <row r="9" ht="15" customHeight="1">
      <c r="A9" s="31" t="n"/>
      <c r="B9" s="31" t="n"/>
      <c r="C9" s="31" t="n"/>
      <c r="D9" s="31" t="n"/>
      <c r="BE9" s="31" t="n"/>
      <c r="BF9" s="31" t="n"/>
      <c r="BG9" s="31" t="n"/>
      <c r="BH9" s="31" t="n"/>
    </row>
    <row r="10" ht="15" customHeight="1">
      <c r="A10" s="31" t="n"/>
      <c r="B10" s="31" t="n"/>
      <c r="C10" s="31" t="n"/>
      <c r="D10" s="35" t="inlineStr">
        <is>
          <t>+</t>
        </is>
      </c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6" t="inlineStr">
        <is>
          <t>+</t>
        </is>
      </c>
      <c r="BF10" s="31" t="n"/>
      <c r="BG10" s="31" t="n"/>
      <c r="BH10" s="31" t="n"/>
    </row>
    <row r="11" ht="15" customHeight="1">
      <c r="A11" s="31" t="n"/>
      <c r="B11" s="31" t="n"/>
      <c r="C11" s="31" t="n"/>
      <c r="D11" s="31" t="n"/>
      <c r="E11" s="37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9" t="n"/>
      <c r="BE11" s="31" t="n"/>
      <c r="BF11" s="31" t="n"/>
      <c r="BG11" s="31" t="n"/>
      <c r="BH11" s="31" t="n"/>
    </row>
    <row r="12" ht="15" customHeight="1">
      <c r="A12" s="31" t="n"/>
      <c r="B12" s="31" t="n"/>
      <c r="C12" s="31" t="n"/>
      <c r="D12" s="31" t="n"/>
      <c r="E12" s="40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46" t="n"/>
      <c r="AI12" s="46" t="n"/>
      <c r="AJ12" s="46" t="n"/>
      <c r="AK12" s="46" t="n"/>
      <c r="AL12" s="46" t="n"/>
      <c r="AM12" s="46" t="n"/>
      <c r="AN12" s="46" t="n"/>
      <c r="AO12" s="46" t="n"/>
      <c r="AP12" s="46" t="n"/>
      <c r="AQ12" s="46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46" t="n"/>
      <c r="BA12" s="46" t="n"/>
      <c r="BB12" s="46" t="n"/>
      <c r="BC12" s="46" t="n"/>
      <c r="BD12" s="42" t="n"/>
      <c r="BE12" s="31" t="n"/>
      <c r="BF12" s="31" t="n"/>
      <c r="BG12" s="31" t="n"/>
      <c r="BH12" s="31" t="n"/>
    </row>
    <row r="13" ht="15" customHeight="1">
      <c r="A13" s="31" t="n"/>
      <c r="B13" s="31" t="n"/>
      <c r="C13" s="31" t="n"/>
      <c r="D13" s="31" t="n"/>
      <c r="E13" s="40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2" t="n"/>
      <c r="BE13" s="31" t="n"/>
      <c r="BF13" s="31" t="n"/>
      <c r="BG13" s="31" t="n"/>
      <c r="BH13" s="31" t="n"/>
    </row>
    <row r="14" ht="15" customHeight="1">
      <c r="A14" s="31" t="n"/>
      <c r="B14" s="31" t="n"/>
      <c r="C14" s="31" t="n"/>
      <c r="D14" s="31" t="n"/>
      <c r="E14" s="40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  <c r="AO14" s="46" t="n"/>
      <c r="AP14" s="46" t="n"/>
      <c r="AQ14" s="46" t="n"/>
      <c r="AR14" s="46" t="n"/>
      <c r="AS14" s="46" t="n"/>
      <c r="AT14" s="46" t="n"/>
      <c r="AU14" s="46" t="n"/>
      <c r="AV14" s="46" t="n"/>
      <c r="AW14" s="46" t="n"/>
      <c r="AX14" s="46" t="n"/>
      <c r="AY14" s="46" t="n"/>
      <c r="AZ14" s="46" t="n"/>
      <c r="BA14" s="46" t="n"/>
      <c r="BB14" s="46" t="n"/>
      <c r="BC14" s="46" t="n"/>
      <c r="BD14" s="42" t="n"/>
      <c r="BE14" s="31" t="n"/>
      <c r="BF14" s="31" t="n"/>
      <c r="BG14" s="31" t="n"/>
      <c r="BH14" s="31" t="n"/>
    </row>
    <row r="15" ht="15" customHeight="1">
      <c r="A15" s="31" t="n"/>
      <c r="B15" s="31" t="n"/>
      <c r="C15" s="31" t="n"/>
      <c r="D15" s="31" t="n"/>
      <c r="E15" s="40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2" t="n"/>
      <c r="BE15" s="31" t="n"/>
      <c r="BF15" s="31" t="n"/>
      <c r="BG15" s="31" t="n"/>
      <c r="BH15" s="31" t="n"/>
    </row>
    <row r="16" ht="15" customHeight="1">
      <c r="A16" s="31" t="n"/>
      <c r="B16" s="31" t="n"/>
      <c r="C16" s="31" t="n"/>
      <c r="D16" s="31" t="n"/>
      <c r="E16" s="40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2" t="n"/>
      <c r="BE16" s="31" t="n"/>
      <c r="BF16" s="31" t="n"/>
      <c r="BG16" s="31" t="n"/>
      <c r="BH16" s="31" t="n"/>
    </row>
    <row r="17" ht="15" customHeight="1">
      <c r="A17" s="31" t="n"/>
      <c r="B17" s="31" t="n"/>
      <c r="C17" s="31" t="n"/>
      <c r="D17" s="31" t="n"/>
      <c r="E17" s="40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46" t="n"/>
      <c r="AV17" s="46" t="n"/>
      <c r="AW17" s="46" t="n"/>
      <c r="AX17" s="46" t="n"/>
      <c r="AY17" s="46" t="n"/>
      <c r="AZ17" s="46" t="n"/>
      <c r="BA17" s="46" t="n"/>
      <c r="BB17" s="46" t="n"/>
      <c r="BC17" s="46" t="n"/>
      <c r="BD17" s="42" t="n"/>
      <c r="BE17" s="31" t="n"/>
      <c r="BF17" s="31" t="n"/>
      <c r="BG17" s="31" t="n"/>
      <c r="BH17" s="31" t="n"/>
    </row>
    <row r="18" ht="15" customHeight="1">
      <c r="A18" s="31" t="n"/>
      <c r="B18" s="31" t="n"/>
      <c r="C18" s="31" t="n"/>
      <c r="D18" s="31" t="n"/>
      <c r="E18" s="40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2" t="n"/>
      <c r="BE18" s="31" t="n"/>
      <c r="BF18" s="31" t="n"/>
      <c r="BG18" s="31" t="n"/>
      <c r="BH18" s="31" t="n"/>
    </row>
    <row r="19" ht="15" customHeight="1">
      <c r="A19" s="31" t="n"/>
      <c r="B19" s="31" t="n"/>
      <c r="C19" s="31" t="n"/>
      <c r="D19" s="31" t="n"/>
      <c r="E19" s="40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46" t="n"/>
      <c r="AV19" s="46" t="n"/>
      <c r="AW19" s="46" t="n"/>
      <c r="AX19" s="46" t="n"/>
      <c r="AY19" s="46" t="n"/>
      <c r="AZ19" s="46" t="n"/>
      <c r="BA19" s="46" t="n"/>
      <c r="BB19" s="46" t="n"/>
      <c r="BC19" s="46" t="n"/>
      <c r="BD19" s="42" t="n"/>
      <c r="BE19" s="31" t="n"/>
      <c r="BF19" s="31" t="n"/>
      <c r="BG19" s="31" t="n"/>
      <c r="BH19" s="31" t="n"/>
    </row>
    <row r="20" ht="15" customHeight="1">
      <c r="A20" s="31" t="n"/>
      <c r="B20" s="31" t="n"/>
      <c r="C20" s="31" t="n"/>
      <c r="D20" s="31" t="n"/>
      <c r="E20" s="40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  <c r="AT20" s="46" t="n"/>
      <c r="AU20" s="46" t="n"/>
      <c r="AV20" s="46" t="n"/>
      <c r="AW20" s="46" t="n"/>
      <c r="AX20" s="46" t="n"/>
      <c r="AY20" s="46" t="n"/>
      <c r="AZ20" s="46" t="n"/>
      <c r="BA20" s="46" t="n"/>
      <c r="BB20" s="46" t="n"/>
      <c r="BC20" s="46" t="n"/>
      <c r="BD20" s="42" t="n"/>
      <c r="BE20" s="31" t="n"/>
      <c r="BF20" s="31" t="n"/>
      <c r="BG20" s="31" t="n"/>
      <c r="BH20" s="31" t="n"/>
    </row>
    <row r="21" ht="15" customHeight="1">
      <c r="A21" s="31" t="n"/>
      <c r="B21" s="31" t="n"/>
      <c r="C21" s="31" t="n"/>
      <c r="D21" s="31" t="n"/>
      <c r="E21" s="40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46" t="n"/>
      <c r="AI21" s="46" t="n"/>
      <c r="AJ21" s="46" t="n"/>
      <c r="AK21" s="46" t="n"/>
      <c r="AL21" s="46" t="n"/>
      <c r="AM21" s="46" t="n"/>
      <c r="AN21" s="46" t="n"/>
      <c r="AO21" s="46" t="n"/>
      <c r="AP21" s="46" t="n"/>
      <c r="AQ21" s="46" t="n"/>
      <c r="AR21" s="46" t="n"/>
      <c r="AS21" s="46" t="n"/>
      <c r="AT21" s="46" t="n"/>
      <c r="AU21" s="46" t="n"/>
      <c r="AV21" s="46" t="n"/>
      <c r="AW21" s="46" t="n"/>
      <c r="AX21" s="46" t="n"/>
      <c r="AY21" s="46" t="n"/>
      <c r="AZ21" s="46" t="n"/>
      <c r="BA21" s="46" t="n"/>
      <c r="BB21" s="46" t="n"/>
      <c r="BC21" s="46" t="n"/>
      <c r="BD21" s="42" t="n"/>
      <c r="BE21" s="31" t="n"/>
      <c r="BF21" s="31" t="n"/>
      <c r="BG21" s="31" t="n"/>
      <c r="BH21" s="31" t="n"/>
    </row>
    <row r="22" ht="15" customHeight="1">
      <c r="A22" s="31" t="n"/>
      <c r="B22" s="31" t="n"/>
      <c r="C22" s="31" t="n"/>
      <c r="D22" s="31" t="n"/>
      <c r="E22" s="48" t="n"/>
      <c r="F22" s="55">
        <f>Calc!$B$73</f>
        <v/>
      </c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0" t="n"/>
      <c r="BE22" s="31" t="n"/>
      <c r="BF22" s="31" t="n"/>
      <c r="BG22" s="31" t="n"/>
      <c r="BH22" s="31" t="n"/>
    </row>
    <row r="23" ht="15" customHeight="1">
      <c r="A23" s="31" t="n"/>
      <c r="B23" s="31" t="n"/>
      <c r="C23" s="31" t="n"/>
      <c r="D23" s="51" t="inlineStr">
        <is>
          <t>+</t>
        </is>
      </c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1" t="n"/>
      <c r="AO23" s="31" t="n"/>
      <c r="AP23" s="31" t="n"/>
      <c r="AQ23" s="31" t="n"/>
      <c r="AR23" s="31" t="n"/>
      <c r="AS23" s="31" t="n"/>
      <c r="AT23" s="31" t="n"/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  <c r="BD23" s="31" t="n"/>
      <c r="BE23" s="52" t="inlineStr">
        <is>
          <t>+</t>
        </is>
      </c>
      <c r="BF23" s="31" t="n"/>
      <c r="BG23" s="31" t="n"/>
      <c r="BH23" s="31" t="n"/>
    </row>
    <row r="24" ht="15" customHeight="1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  <c r="AL24" s="31" t="n"/>
      <c r="AM24" s="31" t="n"/>
      <c r="AN24" s="31" t="n"/>
      <c r="AO24" s="31" t="n"/>
      <c r="AP24" s="31" t="n"/>
      <c r="AQ24" s="31" t="n"/>
      <c r="AR24" s="31" t="n"/>
      <c r="AS24" s="31" t="n"/>
      <c r="AT24" s="31" t="n"/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  <c r="BD24" s="31" t="n"/>
      <c r="BE24" s="31" t="n"/>
      <c r="BF24" s="31" t="n"/>
      <c r="BG24" s="31" t="n"/>
      <c r="BH24" s="31" t="n"/>
    </row>
    <row r="25" ht="15" customHeight="1">
      <c r="A25" s="31" t="n"/>
      <c r="B25" s="31" t="n"/>
      <c r="C25" s="31" t="n"/>
      <c r="D25" s="31" t="n"/>
      <c r="E25" s="57">
        <f>Calc!$B$65</f>
        <v/>
      </c>
      <c r="U25" s="31" t="n"/>
      <c r="V25" s="31" t="n"/>
      <c r="W25" s="57">
        <f>Calc!$B$66</f>
        <v/>
      </c>
      <c r="AM25" s="31" t="n"/>
      <c r="AN25" s="31" t="n"/>
      <c r="AO25" s="57" t="inlineStr">
        <is>
          <t>GAP WITHOUT HEAD START</t>
        </is>
      </c>
      <c r="BE25" s="31" t="n"/>
      <c r="BF25" s="31" t="n"/>
      <c r="BG25" s="31" t="n"/>
      <c r="BH25" s="31" t="n"/>
    </row>
    <row r="26" ht="15" customHeight="1">
      <c r="A26" s="31" t="n"/>
      <c r="B26" s="31" t="n"/>
      <c r="C26" s="31" t="n"/>
      <c r="D26" s="31" t="n"/>
      <c r="E26" s="58">
        <f>Calc!$B$67</f>
        <v/>
      </c>
      <c r="U26" s="31" t="n"/>
      <c r="V26" s="31" t="n"/>
      <c r="W26" s="58">
        <f>Calc!$B$68</f>
        <v/>
      </c>
      <c r="AM26" s="31" t="n"/>
      <c r="AN26" s="31" t="n"/>
      <c r="AO26" s="58">
        <f>Calc!$B$69</f>
        <v/>
      </c>
      <c r="BE26" s="31" t="n"/>
      <c r="BF26" s="31" t="n"/>
      <c r="BG26" s="31" t="n"/>
      <c r="BH26" s="31" t="n"/>
    </row>
    <row r="27" ht="15" customHeight="1">
      <c r="A27" s="31" t="n"/>
      <c r="B27" s="31" t="n"/>
      <c r="C27" s="31" t="n"/>
      <c r="D27" s="31" t="n"/>
      <c r="U27" s="31" t="n"/>
      <c r="V27" s="31" t="n"/>
      <c r="AM27" s="31" t="n"/>
      <c r="AN27" s="31" t="n"/>
      <c r="BE27" s="31" t="n"/>
      <c r="BF27" s="31" t="n"/>
      <c r="BG27" s="31" t="n"/>
      <c r="BH27" s="31" t="n"/>
    </row>
    <row r="28" ht="15" customHeight="1">
      <c r="A28" s="31" t="n"/>
      <c r="B28" s="31" t="n"/>
      <c r="C28" s="31" t="n"/>
      <c r="D28" s="31" t="n"/>
      <c r="U28" s="31" t="n"/>
      <c r="V28" s="31" t="n"/>
      <c r="AM28" s="31" t="n"/>
      <c r="AN28" s="31" t="n"/>
      <c r="BE28" s="31" t="n"/>
      <c r="BF28" s="31" t="n"/>
      <c r="BG28" s="31" t="n"/>
      <c r="BH28" s="31" t="n"/>
    </row>
    <row r="29" ht="15" customHeight="1">
      <c r="A29" s="31" t="n"/>
      <c r="B29" s="31" t="n"/>
      <c r="C29" s="31" t="n"/>
      <c r="D29" s="31" t="n"/>
      <c r="E29" s="59">
        <f>Calc!$B$70</f>
        <v/>
      </c>
      <c r="U29" s="31" t="n"/>
      <c r="V29" s="31" t="n"/>
      <c r="W29" s="59">
        <f>Calc!$B$71</f>
        <v/>
      </c>
      <c r="AM29" s="31" t="n"/>
      <c r="AN29" s="31" t="n"/>
      <c r="AO29" s="59">
        <f>Calc!$B$72</f>
        <v/>
      </c>
      <c r="BE29" s="31" t="n"/>
      <c r="BF29" s="31" t="n"/>
      <c r="BG29" s="31" t="n"/>
      <c r="BH29" s="31" t="n"/>
    </row>
    <row r="30" ht="15" customHeight="1">
      <c r="A30" s="31" t="n"/>
      <c r="B30" s="31" t="n"/>
      <c r="C30" s="31" t="n"/>
      <c r="D30" s="31" t="n"/>
      <c r="U30" s="31" t="n"/>
      <c r="V30" s="31" t="n"/>
      <c r="AM30" s="31" t="n"/>
      <c r="AN30" s="31" t="n"/>
      <c r="BE30" s="31" t="n"/>
      <c r="BF30" s="31" t="n"/>
      <c r="BG30" s="31" t="n"/>
      <c r="BH30" s="31" t="n"/>
    </row>
    <row r="31" ht="15" customHeight="1">
      <c r="A31" s="31" t="n"/>
      <c r="B31" s="31" t="n"/>
      <c r="C31" s="31" t="n"/>
      <c r="D31" s="31" t="n"/>
      <c r="U31" s="31" t="n"/>
      <c r="V31" s="31" t="n"/>
      <c r="AM31" s="31" t="n"/>
      <c r="AN31" s="31" t="n"/>
      <c r="BE31" s="31" t="n"/>
      <c r="BF31" s="31" t="n"/>
      <c r="BG31" s="31" t="n"/>
      <c r="BH31" s="31" t="n"/>
    </row>
    <row r="32" ht="15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  <c r="AL32" s="31" t="n"/>
      <c r="AM32" s="31" t="n"/>
      <c r="AN32" s="31" t="n"/>
      <c r="AO32" s="31" t="n"/>
      <c r="AP32" s="31" t="n"/>
      <c r="AQ32" s="31" t="n"/>
      <c r="AR32" s="31" t="n"/>
      <c r="AS32" s="31" t="n"/>
      <c r="AT32" s="31" t="n"/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  <c r="BD32" s="31" t="n"/>
      <c r="BE32" s="31" t="n"/>
      <c r="BF32" s="31" t="n"/>
      <c r="BG32" s="31" t="n"/>
      <c r="BH32" s="31" t="n"/>
    </row>
    <row r="33" ht="15" customHeight="1">
      <c r="A33" s="31" t="n"/>
      <c r="B33" s="31" t="n"/>
      <c r="C33" s="31" t="n"/>
      <c r="D33" s="31" t="n"/>
      <c r="E33" s="60">
        <f>Calc!$B$56</f>
        <v/>
      </c>
      <c r="BE33" s="31" t="n"/>
      <c r="BF33" s="31" t="n"/>
      <c r="BG33" s="31" t="n"/>
      <c r="BH33" s="31" t="n"/>
    </row>
    <row r="34" ht="15" customHeight="1">
      <c r="A34" s="31" t="n"/>
      <c r="B34" s="31" t="n"/>
      <c r="C34" s="31" t="n"/>
      <c r="D34" s="31" t="n"/>
      <c r="BE34" s="31" t="n"/>
      <c r="BF34" s="31" t="n"/>
      <c r="BG34" s="31" t="n"/>
      <c r="BH34" s="31" t="n"/>
    </row>
    <row r="35" ht="15" customHeight="1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  <c r="AL35" s="31" t="n"/>
      <c r="AM35" s="31" t="n"/>
      <c r="AN35" s="31" t="n"/>
      <c r="AO35" s="31" t="n"/>
      <c r="AP35" s="31" t="n"/>
      <c r="AQ35" s="31" t="n"/>
      <c r="AR35" s="31" t="n"/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31" t="n"/>
      <c r="BF35" s="31" t="n"/>
      <c r="BG35" s="31" t="n"/>
      <c r="BH35" s="31" t="n"/>
    </row>
    <row r="36" ht="15" customHeight="1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</row>
  </sheetData>
  <mergeCells count="14">
    <mergeCell ref="E29:T31"/>
    <mergeCell ref="E3:AL3"/>
    <mergeCell ref="W25:AL25"/>
    <mergeCell ref="E26:T28"/>
    <mergeCell ref="AO25:BD25"/>
    <mergeCell ref="AM3:BD3"/>
    <mergeCell ref="E4:BD9"/>
    <mergeCell ref="E33:BD34"/>
    <mergeCell ref="W26:AL28"/>
    <mergeCell ref="AO26:BD28"/>
    <mergeCell ref="F22:BC22"/>
    <mergeCell ref="AO29:BD31"/>
    <mergeCell ref="W29:AL31"/>
    <mergeCell ref="E25:T25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16180"/>
    <outlinePr summaryBelow="1" summaryRight="1"/>
    <pageSetUpPr fitToPage="1"/>
  </sheetPr>
  <dimension ref="A1:BH36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</cols>
  <sheetData>
    <row r="1" ht="15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  <c r="AL1" s="31" t="n"/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</row>
    <row r="2" ht="15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  <c r="AM2" s="31" t="n"/>
      <c r="AN2" s="31" t="n"/>
      <c r="AO2" s="31" t="n"/>
      <c r="AP2" s="31" t="n"/>
      <c r="AQ2" s="31" t="n"/>
      <c r="AR2" s="31" t="n"/>
      <c r="AS2" s="31" t="n"/>
      <c r="AT2" s="31" t="n"/>
      <c r="AU2" s="31" t="n"/>
      <c r="AV2" s="31" t="n"/>
      <c r="AW2" s="31" t="n"/>
      <c r="AX2" s="31" t="n"/>
      <c r="AY2" s="31" t="n"/>
      <c r="AZ2" s="31" t="n"/>
      <c r="BA2" s="31" t="n"/>
      <c r="BB2" s="31" t="n"/>
      <c r="BC2" s="31" t="n"/>
      <c r="BD2" s="31" t="n"/>
      <c r="BE2" s="31" t="n"/>
      <c r="BF2" s="31" t="n"/>
      <c r="BG2" s="31" t="n"/>
      <c r="BH2" s="31" t="n"/>
    </row>
    <row r="3" ht="15" customHeight="1">
      <c r="A3" s="31" t="n"/>
      <c r="B3" s="31" t="n"/>
      <c r="C3" s="31" t="n"/>
      <c r="D3" s="31" t="n"/>
      <c r="E3" s="32">
        <f>Calc!$B$52</f>
        <v/>
      </c>
      <c r="AM3" s="33">
        <f>"MARKET: "&amp;UPPER(Calc!$B$23)</f>
        <v/>
      </c>
      <c r="BE3" s="31" t="n"/>
      <c r="BF3" s="31" t="n"/>
      <c r="BG3" s="31" t="n"/>
      <c r="BH3" s="31" t="n"/>
    </row>
    <row r="4" ht="15" customHeight="1">
      <c r="A4" s="31" t="n"/>
      <c r="B4" s="31" t="n"/>
      <c r="C4" s="31" t="n"/>
      <c r="D4" s="31" t="n"/>
      <c r="E4" s="34">
        <f>Calc!$B$49</f>
        <v/>
      </c>
      <c r="BE4" s="31" t="n"/>
      <c r="BF4" s="31" t="n"/>
      <c r="BG4" s="31" t="n"/>
      <c r="BH4" s="31" t="n"/>
    </row>
    <row r="5" ht="15" customHeight="1">
      <c r="A5" s="31" t="n"/>
      <c r="B5" s="31" t="n"/>
      <c r="C5" s="31" t="n"/>
      <c r="D5" s="31" t="n"/>
      <c r="BE5" s="31" t="n"/>
      <c r="BF5" s="31" t="n"/>
      <c r="BG5" s="31" t="n"/>
      <c r="BH5" s="31" t="n"/>
    </row>
    <row r="6" ht="15" customHeight="1">
      <c r="A6" s="31" t="n"/>
      <c r="B6" s="31" t="n"/>
      <c r="C6" s="31" t="n"/>
      <c r="D6" s="31" t="n"/>
      <c r="BE6" s="31" t="n"/>
      <c r="BF6" s="31" t="n"/>
      <c r="BG6" s="31" t="n"/>
      <c r="BH6" s="31" t="n"/>
    </row>
    <row r="7" ht="15" customHeight="1">
      <c r="A7" s="31" t="n"/>
      <c r="B7" s="31" t="n"/>
      <c r="C7" s="31" t="n"/>
      <c r="D7" s="31" t="n"/>
      <c r="BE7" s="31" t="n"/>
      <c r="BF7" s="31" t="n"/>
      <c r="BG7" s="31" t="n"/>
      <c r="BH7" s="31" t="n"/>
    </row>
    <row r="8" ht="15" customHeight="1">
      <c r="A8" s="31" t="n"/>
      <c r="B8" s="31" t="n"/>
      <c r="C8" s="31" t="n"/>
      <c r="D8" s="31" t="n"/>
      <c r="BE8" s="31" t="n"/>
      <c r="BF8" s="31" t="n"/>
      <c r="BG8" s="31" t="n"/>
      <c r="BH8" s="31" t="n"/>
    </row>
    <row r="9" ht="15" customHeight="1">
      <c r="A9" s="31" t="n"/>
      <c r="B9" s="31" t="n"/>
      <c r="C9" s="31" t="n"/>
      <c r="D9" s="31" t="n"/>
      <c r="BE9" s="31" t="n"/>
      <c r="BF9" s="31" t="n"/>
      <c r="BG9" s="31" t="n"/>
      <c r="BH9" s="31" t="n"/>
    </row>
    <row r="10" ht="15" customHeight="1">
      <c r="A10" s="31" t="n"/>
      <c r="B10" s="31" t="n"/>
      <c r="C10" s="31" t="n"/>
      <c r="D10" s="35" t="inlineStr">
        <is>
          <t>+</t>
        </is>
      </c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6" t="inlineStr">
        <is>
          <t>+</t>
        </is>
      </c>
      <c r="AD10" s="31" t="n"/>
      <c r="AE10" s="31" t="n"/>
      <c r="AF10" s="35" t="inlineStr">
        <is>
          <t>+</t>
        </is>
      </c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6" t="inlineStr">
        <is>
          <t>+</t>
        </is>
      </c>
      <c r="BF10" s="31" t="n"/>
      <c r="BG10" s="31" t="n"/>
      <c r="BH10" s="31" t="n"/>
    </row>
    <row r="11" ht="15" customHeight="1">
      <c r="A11" s="31" t="n"/>
      <c r="B11" s="31" t="n"/>
      <c r="C11" s="31" t="n"/>
      <c r="D11" s="31" t="n"/>
      <c r="E11" s="37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9" t="n"/>
      <c r="AC11" s="31" t="n"/>
      <c r="AD11" s="31" t="n"/>
      <c r="AE11" s="31" t="n"/>
      <c r="AF11" s="31" t="n"/>
      <c r="AG11" s="37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9" t="n"/>
      <c r="BE11" s="31" t="n"/>
      <c r="BF11" s="31" t="n"/>
      <c r="BG11" s="31" t="n"/>
      <c r="BH11" s="31" t="n"/>
    </row>
    <row r="12" ht="15" customHeight="1">
      <c r="A12" s="31" t="n"/>
      <c r="B12" s="31" t="n"/>
      <c r="C12" s="31" t="n"/>
      <c r="D12" s="31" t="n"/>
      <c r="E12" s="40" t="n"/>
      <c r="F12" s="41" t="inlineStr">
        <is>
          <t>Same calendar date</t>
        </is>
      </c>
      <c r="AB12" s="42" t="n"/>
      <c r="AC12" s="31" t="n"/>
      <c r="AD12" s="31" t="n"/>
      <c r="AE12" s="31" t="n"/>
      <c r="AF12" s="31" t="n"/>
      <c r="AG12" s="40" t="n"/>
      <c r="AH12" s="41" t="inlineStr">
        <is>
          <t>Same days since launch</t>
        </is>
      </c>
      <c r="BD12" s="42" t="n"/>
      <c r="BE12" s="31" t="n"/>
      <c r="BF12" s="31" t="n"/>
      <c r="BG12" s="31" t="n"/>
      <c r="BH12" s="31" t="n"/>
    </row>
    <row r="13" ht="15" customHeight="1">
      <c r="A13" s="31" t="n"/>
      <c r="B13" s="31" t="n"/>
      <c r="C13" s="31" t="n"/>
      <c r="D13" s="31" t="n"/>
      <c r="E13" s="40" t="n"/>
      <c r="AB13" s="42" t="n"/>
      <c r="AC13" s="31" t="n"/>
      <c r="AD13" s="31" t="n"/>
      <c r="AE13" s="31" t="n"/>
      <c r="AF13" s="31" t="n"/>
      <c r="AG13" s="40" t="n"/>
      <c r="BD13" s="42" t="n"/>
      <c r="BE13" s="31" t="n"/>
      <c r="BF13" s="31" t="n"/>
      <c r="BG13" s="31" t="n"/>
      <c r="BH13" s="31" t="n"/>
    </row>
    <row r="14" ht="15" customHeight="1">
      <c r="A14" s="31" t="n"/>
      <c r="B14" s="31" t="n"/>
      <c r="C14" s="31" t="n"/>
      <c r="D14" s="31" t="n"/>
      <c r="E14" s="40" t="n"/>
      <c r="F14" s="61">
        <f>Calc!$B$59</f>
        <v/>
      </c>
      <c r="AB14" s="42" t="n"/>
      <c r="AC14" s="31" t="n"/>
      <c r="AD14" s="31" t="n"/>
      <c r="AE14" s="31" t="n"/>
      <c r="AF14" s="31" t="n"/>
      <c r="AG14" s="40" t="n"/>
      <c r="AH14" s="61">
        <f>Calc!$B$60</f>
        <v/>
      </c>
      <c r="BD14" s="42" t="n"/>
      <c r="BE14" s="31" t="n"/>
      <c r="BF14" s="31" t="n"/>
      <c r="BG14" s="31" t="n"/>
      <c r="BH14" s="31" t="n"/>
    </row>
    <row r="15" ht="15" customHeight="1">
      <c r="A15" s="31" t="n"/>
      <c r="B15" s="31" t="n"/>
      <c r="C15" s="31" t="n"/>
      <c r="D15" s="31" t="n"/>
      <c r="E15" s="40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2" t="n"/>
      <c r="AC15" s="31" t="n"/>
      <c r="AD15" s="31" t="n"/>
      <c r="AE15" s="31" t="n"/>
      <c r="AF15" s="31" t="n"/>
      <c r="AG15" s="40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2" t="n"/>
      <c r="BE15" s="31" t="n"/>
      <c r="BF15" s="31" t="n"/>
      <c r="BG15" s="31" t="n"/>
      <c r="BH15" s="31" t="n"/>
    </row>
    <row r="16" ht="15" customHeight="1">
      <c r="A16" s="31" t="n"/>
      <c r="B16" s="31" t="n"/>
      <c r="C16" s="31" t="n"/>
      <c r="D16" s="31" t="n"/>
      <c r="E16" s="40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2" t="n"/>
      <c r="AC16" s="31" t="n"/>
      <c r="AD16" s="31" t="n"/>
      <c r="AE16" s="31" t="n"/>
      <c r="AF16" s="31" t="n"/>
      <c r="AG16" s="40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2" t="n"/>
      <c r="BE16" s="31" t="n"/>
      <c r="BF16" s="31" t="n"/>
      <c r="BG16" s="31" t="n"/>
      <c r="BH16" s="31" t="n"/>
    </row>
    <row r="17" ht="15" customHeight="1">
      <c r="A17" s="31" t="n"/>
      <c r="B17" s="31" t="n"/>
      <c r="C17" s="31" t="n"/>
      <c r="D17" s="31" t="n"/>
      <c r="E17" s="40" t="n"/>
      <c r="F17" s="62" t="inlineStr">
        <is>
          <t>REVENUE</t>
        </is>
      </c>
      <c r="Q17" s="46" t="n"/>
      <c r="R17" s="62" t="inlineStr">
        <is>
          <t>UNITS</t>
        </is>
      </c>
      <c r="AB17" s="42" t="n"/>
      <c r="AC17" s="31" t="n"/>
      <c r="AD17" s="31" t="n"/>
      <c r="AE17" s="31" t="n"/>
      <c r="AF17" s="31" t="n"/>
      <c r="AG17" s="40" t="n"/>
      <c r="AH17" s="62" t="inlineStr">
        <is>
          <t>REVENUE</t>
        </is>
      </c>
      <c r="AS17" s="46" t="n"/>
      <c r="AT17" s="62" t="inlineStr">
        <is>
          <t>UNITS</t>
        </is>
      </c>
      <c r="BD17" s="42" t="n"/>
      <c r="BE17" s="31" t="n"/>
      <c r="BF17" s="31" t="n"/>
      <c r="BG17" s="31" t="n"/>
      <c r="BH17" s="31" t="n"/>
    </row>
    <row r="18" ht="15" customHeight="1">
      <c r="A18" s="31" t="n"/>
      <c r="B18" s="31" t="n"/>
      <c r="C18" s="31" t="n"/>
      <c r="D18" s="31" t="n"/>
      <c r="E18" s="40" t="n"/>
      <c r="F18" s="63">
        <f>IF(Calc!$B$9=1,Calc!$D$9,"–")</f>
        <v/>
      </c>
      <c r="Q18" s="46" t="n"/>
      <c r="R18" s="64">
        <f>IF(Calc!$B$9=1,Calc!$C$9,"–")</f>
        <v/>
      </c>
      <c r="AB18" s="42" t="n"/>
      <c r="AC18" s="31" t="n"/>
      <c r="AD18" s="31" t="n"/>
      <c r="AE18" s="31" t="n"/>
      <c r="AF18" s="31" t="n"/>
      <c r="AG18" s="40" t="n"/>
      <c r="AH18" s="63">
        <f>IF(Calc!$B$9=1,Calc!$D$9,"–")</f>
        <v/>
      </c>
      <c r="AS18" s="46" t="n"/>
      <c r="AT18" s="64">
        <f>IF(Calc!$B$9=1,Calc!$C$9,"–")</f>
        <v/>
      </c>
      <c r="BD18" s="42" t="n"/>
      <c r="BE18" s="31" t="n"/>
      <c r="BF18" s="31" t="n"/>
      <c r="BG18" s="31" t="n"/>
      <c r="BH18" s="31" t="n"/>
    </row>
    <row r="19" ht="15" customHeight="1">
      <c r="A19" s="31" t="n"/>
      <c r="B19" s="31" t="n"/>
      <c r="C19" s="31" t="n"/>
      <c r="D19" s="31" t="n"/>
      <c r="E19" s="40" t="n"/>
      <c r="Q19" s="46" t="n"/>
      <c r="AB19" s="42" t="n"/>
      <c r="AC19" s="31" t="n"/>
      <c r="AD19" s="31" t="n"/>
      <c r="AE19" s="31" t="n"/>
      <c r="AF19" s="31" t="n"/>
      <c r="AG19" s="40" t="n"/>
      <c r="AS19" s="46" t="n"/>
      <c r="BD19" s="42" t="n"/>
      <c r="BE19" s="31" t="n"/>
      <c r="BF19" s="31" t="n"/>
      <c r="BG19" s="31" t="n"/>
      <c r="BH19" s="31" t="n"/>
    </row>
    <row r="20" ht="15" customHeight="1">
      <c r="A20" s="31" t="n"/>
      <c r="B20" s="31" t="n"/>
      <c r="C20" s="31" t="n"/>
      <c r="D20" s="31" t="n"/>
      <c r="E20" s="40" t="n"/>
      <c r="Q20" s="46" t="n"/>
      <c r="AB20" s="42" t="n"/>
      <c r="AC20" s="31" t="n"/>
      <c r="AD20" s="31" t="n"/>
      <c r="AE20" s="31" t="n"/>
      <c r="AF20" s="31" t="n"/>
      <c r="AG20" s="40" t="n"/>
      <c r="AS20" s="46" t="n"/>
      <c r="BD20" s="42" t="n"/>
      <c r="BE20" s="31" t="n"/>
      <c r="BF20" s="31" t="n"/>
      <c r="BG20" s="31" t="n"/>
      <c r="BH20" s="31" t="n"/>
    </row>
    <row r="21" ht="15" customHeight="1">
      <c r="A21" s="31" t="n"/>
      <c r="B21" s="31" t="n"/>
      <c r="C21" s="31" t="n"/>
      <c r="D21" s="31" t="n"/>
      <c r="E21" s="40" t="n"/>
      <c r="Q21" s="46" t="n"/>
      <c r="AB21" s="42" t="n"/>
      <c r="AC21" s="31" t="n"/>
      <c r="AD21" s="31" t="n"/>
      <c r="AE21" s="31" t="n"/>
      <c r="AF21" s="31" t="n"/>
      <c r="AG21" s="40" t="n"/>
      <c r="AS21" s="46" t="n"/>
      <c r="BD21" s="42" t="n"/>
      <c r="BE21" s="31" t="n"/>
      <c r="BF21" s="31" t="n"/>
      <c r="BG21" s="31" t="n"/>
      <c r="BH21" s="31" t="n"/>
    </row>
    <row r="22" ht="15" customHeight="1">
      <c r="A22" s="31" t="n"/>
      <c r="B22" s="31" t="n"/>
      <c r="C22" s="31" t="n"/>
      <c r="D22" s="31" t="n"/>
      <c r="E22" s="40" t="n"/>
      <c r="F22" s="65">
        <f>IF(Calc!$B$9=1,Calc!$L$9,"–")</f>
        <v/>
      </c>
      <c r="L22" s="46" t="n"/>
      <c r="M22" s="46" t="n"/>
      <c r="N22" s="46" t="n"/>
      <c r="O22" s="46" t="n"/>
      <c r="P22" s="46" t="n"/>
      <c r="Q22" s="46" t="n"/>
      <c r="R22" s="65">
        <f>IF(Calc!$B$9=1,Calc!$K$9,"–")</f>
        <v/>
      </c>
      <c r="X22" s="46" t="n"/>
      <c r="Y22" s="46" t="n"/>
      <c r="Z22" s="46" t="n"/>
      <c r="AA22" s="46" t="n"/>
      <c r="AB22" s="42" t="n"/>
      <c r="AC22" s="31" t="n"/>
      <c r="AD22" s="31" t="n"/>
      <c r="AE22" s="31" t="n"/>
      <c r="AF22" s="31" t="n"/>
      <c r="AG22" s="40" t="n"/>
      <c r="AH22" s="65">
        <f>IF(Calc!$B$9=1,Calc!$N$9,"–")</f>
        <v/>
      </c>
      <c r="AN22" s="46" t="n"/>
      <c r="AO22" s="46" t="n"/>
      <c r="AP22" s="46" t="n"/>
      <c r="AQ22" s="46" t="n"/>
      <c r="AR22" s="46" t="n"/>
      <c r="AS22" s="46" t="n"/>
      <c r="AT22" s="65">
        <f>IF(Calc!$B$9=1,Calc!$M$9,"–")</f>
        <v/>
      </c>
      <c r="AZ22" s="46" t="n"/>
      <c r="BA22" s="46" t="n"/>
      <c r="BB22" s="46" t="n"/>
      <c r="BC22" s="46" t="n"/>
      <c r="BD22" s="42" t="n"/>
      <c r="BE22" s="31" t="n"/>
      <c r="BF22" s="31" t="n"/>
      <c r="BG22" s="31" t="n"/>
      <c r="BH22" s="31" t="n"/>
    </row>
    <row r="23" ht="15" customHeight="1">
      <c r="A23" s="31" t="n"/>
      <c r="B23" s="31" t="n"/>
      <c r="C23" s="31" t="n"/>
      <c r="D23" s="31" t="n"/>
      <c r="E23" s="40" t="n"/>
      <c r="L23" s="46" t="n"/>
      <c r="M23" s="46" t="n"/>
      <c r="N23" s="46" t="n"/>
      <c r="O23" s="46" t="n"/>
      <c r="P23" s="46" t="n"/>
      <c r="Q23" s="46" t="n"/>
      <c r="X23" s="46" t="n"/>
      <c r="Y23" s="46" t="n"/>
      <c r="Z23" s="46" t="n"/>
      <c r="AA23" s="46" t="n"/>
      <c r="AB23" s="42" t="n"/>
      <c r="AC23" s="31" t="n"/>
      <c r="AD23" s="31" t="n"/>
      <c r="AE23" s="31" t="n"/>
      <c r="AF23" s="31" t="n"/>
      <c r="AG23" s="40" t="n"/>
      <c r="AN23" s="46" t="n"/>
      <c r="AO23" s="46" t="n"/>
      <c r="AP23" s="46" t="n"/>
      <c r="AQ23" s="46" t="n"/>
      <c r="AR23" s="46" t="n"/>
      <c r="AS23" s="46" t="n"/>
      <c r="AZ23" s="46" t="n"/>
      <c r="BA23" s="46" t="n"/>
      <c r="BB23" s="46" t="n"/>
      <c r="BC23" s="46" t="n"/>
      <c r="BD23" s="42" t="n"/>
      <c r="BE23" s="31" t="n"/>
      <c r="BF23" s="31" t="n"/>
      <c r="BG23" s="31" t="n"/>
      <c r="BH23" s="31" t="n"/>
    </row>
    <row r="24" ht="15" customHeight="1">
      <c r="A24" s="31" t="n"/>
      <c r="B24" s="31" t="n"/>
      <c r="C24" s="31" t="n"/>
      <c r="D24" s="31" t="n"/>
      <c r="E24" s="40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2" t="n"/>
      <c r="AC24" s="31" t="n"/>
      <c r="AD24" s="31" t="n"/>
      <c r="AE24" s="31" t="n"/>
      <c r="AF24" s="31" t="n"/>
      <c r="AG24" s="40" t="n"/>
      <c r="AH24" s="46" t="n"/>
      <c r="AI24" s="46" t="n"/>
      <c r="AJ24" s="46" t="n"/>
      <c r="AK24" s="46" t="n"/>
      <c r="AL24" s="46" t="n"/>
      <c r="AM24" s="46" t="n"/>
      <c r="AN24" s="46" t="n"/>
      <c r="AO24" s="46" t="n"/>
      <c r="AP24" s="46" t="n"/>
      <c r="AQ24" s="46" t="n"/>
      <c r="AR24" s="46" t="n"/>
      <c r="AS24" s="46" t="n"/>
      <c r="AT24" s="46" t="n"/>
      <c r="AU24" s="46" t="n"/>
      <c r="AV24" s="46" t="n"/>
      <c r="AW24" s="46" t="n"/>
      <c r="AX24" s="46" t="n"/>
      <c r="AY24" s="46" t="n"/>
      <c r="AZ24" s="46" t="n"/>
      <c r="BA24" s="46" t="n"/>
      <c r="BB24" s="46" t="n"/>
      <c r="BC24" s="46" t="n"/>
      <c r="BD24" s="42" t="n"/>
      <c r="BE24" s="31" t="n"/>
      <c r="BF24" s="31" t="n"/>
      <c r="BG24" s="31" t="n"/>
      <c r="BH24" s="31" t="n"/>
    </row>
    <row r="25" ht="15" customHeight="1">
      <c r="A25" s="31" t="n"/>
      <c r="B25" s="31" t="n"/>
      <c r="C25" s="31" t="n"/>
      <c r="D25" s="31" t="n"/>
      <c r="E25" s="40" t="n"/>
      <c r="F25" s="66">
        <f>Calc!$B$61</f>
        <v/>
      </c>
      <c r="Q25" s="46" t="n"/>
      <c r="R25" s="66">
        <f>Calc!$B$62</f>
        <v/>
      </c>
      <c r="AB25" s="42" t="n"/>
      <c r="AC25" s="31" t="n"/>
      <c r="AD25" s="31" t="n"/>
      <c r="AE25" s="31" t="n"/>
      <c r="AF25" s="31" t="n"/>
      <c r="AG25" s="40" t="n"/>
      <c r="AH25" s="66">
        <f>Calc!$B$63</f>
        <v/>
      </c>
      <c r="AS25" s="46" t="n"/>
      <c r="AT25" s="66">
        <f>Calc!$B$64</f>
        <v/>
      </c>
      <c r="BD25" s="42" t="n"/>
      <c r="BE25" s="31" t="n"/>
      <c r="BF25" s="31" t="n"/>
      <c r="BG25" s="31" t="n"/>
      <c r="BH25" s="31" t="n"/>
    </row>
    <row r="26" ht="15" customHeight="1">
      <c r="A26" s="31" t="n"/>
      <c r="B26" s="31" t="n"/>
      <c r="C26" s="31" t="n"/>
      <c r="D26" s="31" t="n"/>
      <c r="E26" s="48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50" t="n"/>
      <c r="AC26" s="31" t="n"/>
      <c r="AD26" s="31" t="n"/>
      <c r="AE26" s="31" t="n"/>
      <c r="AF26" s="31" t="n"/>
      <c r="AG26" s="48" t="n"/>
      <c r="AH26" s="49" t="n"/>
      <c r="AI26" s="49" t="n"/>
      <c r="AJ26" s="49" t="n"/>
      <c r="AK26" s="49" t="n"/>
      <c r="AL26" s="49" t="n"/>
      <c r="AM26" s="49" t="n"/>
      <c r="AN26" s="49" t="n"/>
      <c r="AO26" s="49" t="n"/>
      <c r="AP26" s="49" t="n"/>
      <c r="AQ26" s="49" t="n"/>
      <c r="AR26" s="49" t="n"/>
      <c r="AS26" s="49" t="n"/>
      <c r="AT26" s="49" t="n"/>
      <c r="AU26" s="49" t="n"/>
      <c r="AV26" s="49" t="n"/>
      <c r="AW26" s="49" t="n"/>
      <c r="AX26" s="49" t="n"/>
      <c r="AY26" s="49" t="n"/>
      <c r="AZ26" s="49" t="n"/>
      <c r="BA26" s="49" t="n"/>
      <c r="BB26" s="49" t="n"/>
      <c r="BC26" s="49" t="n"/>
      <c r="BD26" s="50" t="n"/>
      <c r="BE26" s="31" t="n"/>
      <c r="BF26" s="31" t="n"/>
      <c r="BG26" s="31" t="n"/>
      <c r="BH26" s="31" t="n"/>
    </row>
    <row r="27" ht="15" customHeight="1">
      <c r="A27" s="31" t="n"/>
      <c r="B27" s="31" t="n"/>
      <c r="C27" s="31" t="n"/>
      <c r="D27" s="51" t="inlineStr">
        <is>
          <t>+</t>
        </is>
      </c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52" t="inlineStr">
        <is>
          <t>+</t>
        </is>
      </c>
      <c r="AD27" s="31" t="n"/>
      <c r="AE27" s="31" t="n"/>
      <c r="AF27" s="51" t="inlineStr">
        <is>
          <t>+</t>
        </is>
      </c>
      <c r="AG27" s="31" t="n"/>
      <c r="AH27" s="31" t="n"/>
      <c r="AI27" s="31" t="n"/>
      <c r="AJ27" s="31" t="n"/>
      <c r="AK27" s="31" t="n"/>
      <c r="AL27" s="31" t="n"/>
      <c r="AM27" s="31" t="n"/>
      <c r="AN27" s="31" t="n"/>
      <c r="AO27" s="31" t="n"/>
      <c r="AP27" s="31" t="n"/>
      <c r="AQ27" s="31" t="n"/>
      <c r="AR27" s="31" t="n"/>
      <c r="AS27" s="31" t="n"/>
      <c r="AT27" s="31" t="n"/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  <c r="BD27" s="31" t="n"/>
      <c r="BE27" s="52" t="inlineStr">
        <is>
          <t>+</t>
        </is>
      </c>
      <c r="BF27" s="31" t="n"/>
      <c r="BG27" s="31" t="n"/>
      <c r="BH27" s="31" t="n"/>
    </row>
    <row r="28" ht="15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  <c r="AJ28" s="31" t="n"/>
      <c r="AK28" s="31" t="n"/>
      <c r="AL28" s="31" t="n"/>
      <c r="AM28" s="31" t="n"/>
      <c r="AN28" s="31" t="n"/>
      <c r="AO28" s="31" t="n"/>
      <c r="AP28" s="31" t="n"/>
      <c r="AQ28" s="31" t="n"/>
      <c r="AR28" s="31" t="n"/>
      <c r="AS28" s="31" t="n"/>
      <c r="AT28" s="31" t="n"/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  <c r="BD28" s="31" t="n"/>
      <c r="BE28" s="31" t="n"/>
      <c r="BF28" s="31" t="n"/>
      <c r="BG28" s="31" t="n"/>
      <c r="BH28" s="31" t="n"/>
    </row>
    <row r="29" ht="15" customHeight="1">
      <c r="A29" s="31" t="n"/>
      <c r="B29" s="31" t="n"/>
      <c r="C29" s="31" t="n"/>
      <c r="D29" s="31" t="n"/>
      <c r="E29" s="60">
        <f>Calc!$B$57</f>
        <v/>
      </c>
      <c r="BE29" s="31" t="n"/>
      <c r="BF29" s="31" t="n"/>
      <c r="BG29" s="31" t="n"/>
      <c r="BH29" s="31" t="n"/>
    </row>
    <row r="30" ht="15" customHeight="1">
      <c r="A30" s="31" t="n"/>
      <c r="B30" s="31" t="n"/>
      <c r="C30" s="31" t="n"/>
      <c r="D30" s="31" t="n"/>
      <c r="BE30" s="31" t="n"/>
      <c r="BF30" s="31" t="n"/>
      <c r="BG30" s="31" t="n"/>
      <c r="BH30" s="31" t="n"/>
    </row>
    <row r="31" ht="15" customHeight="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  <c r="AL31" s="31" t="n"/>
      <c r="AM31" s="31" t="n"/>
      <c r="AN31" s="31" t="n"/>
      <c r="AO31" s="31" t="n"/>
      <c r="AP31" s="31" t="n"/>
      <c r="AQ31" s="31" t="n"/>
      <c r="AR31" s="31" t="n"/>
      <c r="AS31" s="31" t="n"/>
      <c r="AT31" s="31" t="n"/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  <c r="BD31" s="31" t="n"/>
      <c r="BE31" s="31" t="n"/>
      <c r="BF31" s="31" t="n"/>
      <c r="BG31" s="31" t="n"/>
      <c r="BH31" s="31" t="n"/>
    </row>
    <row r="32" ht="15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  <c r="AL32" s="31" t="n"/>
      <c r="AM32" s="31" t="n"/>
      <c r="AN32" s="31" t="n"/>
      <c r="AO32" s="31" t="n"/>
      <c r="AP32" s="31" t="n"/>
      <c r="AQ32" s="31" t="n"/>
      <c r="AR32" s="31" t="n"/>
      <c r="AS32" s="31" t="n"/>
      <c r="AT32" s="31" t="n"/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  <c r="BD32" s="31" t="n"/>
      <c r="BE32" s="31" t="n"/>
      <c r="BF32" s="31" t="n"/>
      <c r="BG32" s="31" t="n"/>
      <c r="BH32" s="31" t="n"/>
    </row>
    <row r="33" ht="15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  <c r="AG33" s="31" t="n"/>
      <c r="AH33" s="31" t="n"/>
      <c r="AI33" s="31" t="n"/>
      <c r="AJ33" s="31" t="n"/>
      <c r="AK33" s="31" t="n"/>
      <c r="AL33" s="31" t="n"/>
      <c r="AM33" s="31" t="n"/>
      <c r="AN33" s="31" t="n"/>
      <c r="AO33" s="31" t="n"/>
      <c r="AP33" s="31" t="n"/>
      <c r="AQ33" s="31" t="n"/>
      <c r="AR33" s="31" t="n"/>
      <c r="AS33" s="31" t="n"/>
      <c r="AT33" s="31" t="n"/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  <c r="BD33" s="31" t="n"/>
      <c r="BE33" s="31" t="n"/>
      <c r="BF33" s="31" t="n"/>
      <c r="BG33" s="31" t="n"/>
      <c r="BH33" s="31" t="n"/>
    </row>
    <row r="34" ht="15" customHeight="1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  <c r="AL34" s="31" t="n"/>
      <c r="AM34" s="31" t="n"/>
      <c r="AN34" s="31" t="n"/>
      <c r="AO34" s="31" t="n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1" t="n"/>
      <c r="BE34" s="31" t="n"/>
      <c r="BF34" s="31" t="n"/>
      <c r="BG34" s="31" t="n"/>
      <c r="BH34" s="31" t="n"/>
    </row>
    <row r="35" ht="15" customHeight="1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  <c r="AL35" s="31" t="n"/>
      <c r="AM35" s="31" t="n"/>
      <c r="AN35" s="31" t="n"/>
      <c r="AO35" s="31" t="n"/>
      <c r="AP35" s="31" t="n"/>
      <c r="AQ35" s="31" t="n"/>
      <c r="AR35" s="31" t="n"/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31" t="n"/>
      <c r="BF35" s="31" t="n"/>
      <c r="BG35" s="31" t="n"/>
      <c r="BH35" s="31" t="n"/>
    </row>
    <row r="36" ht="15" customHeight="1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</row>
  </sheetData>
  <mergeCells count="24">
    <mergeCell ref="AH12:BC13"/>
    <mergeCell ref="F18:P21"/>
    <mergeCell ref="R17:AA17"/>
    <mergeCell ref="F25:P25"/>
    <mergeCell ref="AT22:AY23"/>
    <mergeCell ref="F12:AA13"/>
    <mergeCell ref="AT18:BC21"/>
    <mergeCell ref="AH17:AR17"/>
    <mergeCell ref="AH22:AM23"/>
    <mergeCell ref="F14:AA14"/>
    <mergeCell ref="AT17:BC17"/>
    <mergeCell ref="E29:BD30"/>
    <mergeCell ref="AT25:BC25"/>
    <mergeCell ref="F17:P17"/>
    <mergeCell ref="E3:AL3"/>
    <mergeCell ref="AM3:BD3"/>
    <mergeCell ref="E4:BD9"/>
    <mergeCell ref="AH14:BC14"/>
    <mergeCell ref="R25:AA25"/>
    <mergeCell ref="F22:K23"/>
    <mergeCell ref="AH18:AR21"/>
    <mergeCell ref="R18:AA21"/>
    <mergeCell ref="R22:W23"/>
    <mergeCell ref="AH25:AR25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416180"/>
    <outlinePr summaryBelow="1" summaryRight="1"/>
    <pageSetUpPr fitToPage="1"/>
  </sheetPr>
  <dimension ref="A1:BH36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</cols>
  <sheetData>
    <row r="1" ht="15" customHeight="1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  <c r="AL1" s="31" t="n"/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</row>
    <row r="2" ht="15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  <c r="AM2" s="31" t="n"/>
      <c r="AN2" s="31" t="n"/>
      <c r="AO2" s="31" t="n"/>
      <c r="AP2" s="31" t="n"/>
      <c r="AQ2" s="31" t="n"/>
      <c r="AR2" s="31" t="n"/>
      <c r="AS2" s="31" t="n"/>
      <c r="AT2" s="31" t="n"/>
      <c r="AU2" s="31" t="n"/>
      <c r="AV2" s="31" t="n"/>
      <c r="AW2" s="31" t="n"/>
      <c r="AX2" s="31" t="n"/>
      <c r="AY2" s="31" t="n"/>
      <c r="AZ2" s="31" t="n"/>
      <c r="BA2" s="31" t="n"/>
      <c r="BB2" s="31" t="n"/>
      <c r="BC2" s="31" t="n"/>
      <c r="BD2" s="31" t="n"/>
      <c r="BE2" s="31" t="n"/>
      <c r="BF2" s="31" t="n"/>
      <c r="BG2" s="31" t="n"/>
      <c r="BH2" s="31" t="n"/>
    </row>
    <row r="3" ht="15" customHeight="1">
      <c r="A3" s="31" t="n"/>
      <c r="B3" s="31" t="n"/>
      <c r="C3" s="31" t="n"/>
      <c r="D3" s="31" t="n"/>
      <c r="E3" s="32">
        <f>Calc!$B$53</f>
        <v/>
      </c>
      <c r="AM3" s="33">
        <f>"MARKET: "&amp;UPPER(Calc!$B$23)</f>
        <v/>
      </c>
      <c r="BE3" s="31" t="n"/>
      <c r="BF3" s="31" t="n"/>
      <c r="BG3" s="31" t="n"/>
      <c r="BH3" s="31" t="n"/>
    </row>
    <row r="4" ht="15" customHeight="1">
      <c r="A4" s="31" t="n"/>
      <c r="B4" s="31" t="n"/>
      <c r="C4" s="31" t="n"/>
      <c r="D4" s="31" t="n"/>
      <c r="E4" s="34">
        <f>Calc!$B$50</f>
        <v/>
      </c>
      <c r="BE4" s="31" t="n"/>
      <c r="BF4" s="31" t="n"/>
      <c r="BG4" s="31" t="n"/>
      <c r="BH4" s="31" t="n"/>
    </row>
    <row r="5" ht="15" customHeight="1">
      <c r="A5" s="31" t="n"/>
      <c r="B5" s="31" t="n"/>
      <c r="C5" s="31" t="n"/>
      <c r="D5" s="31" t="n"/>
      <c r="BE5" s="31" t="n"/>
      <c r="BF5" s="31" t="n"/>
      <c r="BG5" s="31" t="n"/>
      <c r="BH5" s="31" t="n"/>
    </row>
    <row r="6" ht="15" customHeight="1">
      <c r="A6" s="31" t="n"/>
      <c r="B6" s="31" t="n"/>
      <c r="C6" s="31" t="n"/>
      <c r="D6" s="31" t="n"/>
      <c r="BE6" s="31" t="n"/>
      <c r="BF6" s="31" t="n"/>
      <c r="BG6" s="31" t="n"/>
      <c r="BH6" s="31" t="n"/>
    </row>
    <row r="7" ht="15" customHeight="1">
      <c r="A7" s="31" t="n"/>
      <c r="B7" s="31" t="n"/>
      <c r="C7" s="31" t="n"/>
      <c r="D7" s="31" t="n"/>
      <c r="BE7" s="31" t="n"/>
      <c r="BF7" s="31" t="n"/>
      <c r="BG7" s="31" t="n"/>
      <c r="BH7" s="31" t="n"/>
    </row>
    <row r="8" ht="15" customHeight="1">
      <c r="A8" s="31" t="n"/>
      <c r="B8" s="31" t="n"/>
      <c r="C8" s="31" t="n"/>
      <c r="D8" s="31" t="n"/>
      <c r="BE8" s="31" t="n"/>
      <c r="BF8" s="31" t="n"/>
      <c r="BG8" s="31" t="n"/>
      <c r="BH8" s="31" t="n"/>
    </row>
    <row r="9" ht="15" customHeight="1">
      <c r="A9" s="31" t="n"/>
      <c r="B9" s="31" t="n"/>
      <c r="C9" s="31" t="n"/>
      <c r="D9" s="31" t="n"/>
      <c r="BE9" s="31" t="n"/>
      <c r="BF9" s="31" t="n"/>
      <c r="BG9" s="31" t="n"/>
      <c r="BH9" s="31" t="n"/>
    </row>
    <row r="10" ht="15" customHeight="1">
      <c r="A10" s="31" t="n"/>
      <c r="B10" s="31" t="n"/>
      <c r="C10" s="31" t="n"/>
      <c r="D10" s="35" t="inlineStr">
        <is>
          <t>+</t>
        </is>
      </c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6" t="inlineStr">
        <is>
          <t>+</t>
        </is>
      </c>
      <c r="BF10" s="31" t="n"/>
      <c r="BG10" s="31" t="n"/>
      <c r="BH10" s="31" t="n"/>
    </row>
    <row r="11" ht="15" customHeight="1">
      <c r="A11" s="31" t="n"/>
      <c r="B11" s="31" t="n"/>
      <c r="C11" s="31" t="n"/>
      <c r="D11" s="31" t="n"/>
      <c r="E11" s="37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9" t="n"/>
      <c r="BE11" s="31" t="n"/>
      <c r="BF11" s="31" t="n"/>
      <c r="BG11" s="31" t="n"/>
      <c r="BH11" s="31" t="n"/>
    </row>
    <row r="12" ht="15" customHeight="1">
      <c r="A12" s="31" t="n"/>
      <c r="B12" s="31" t="n"/>
      <c r="C12" s="31" t="n"/>
      <c r="D12" s="31" t="n"/>
      <c r="E12" s="40" t="n"/>
      <c r="F12" s="67" t="inlineStr">
        <is>
          <t>SIZE</t>
        </is>
      </c>
      <c r="N12" s="68">
        <f>"UNITS "&amp;Yr_Cur</f>
        <v/>
      </c>
      <c r="T12" s="68">
        <f>"UNITS VS "&amp;Yr_Prev</f>
        <v/>
      </c>
      <c r="Z12" s="68">
        <f>"REVENUE "&amp;Yr_Cur</f>
        <v/>
      </c>
      <c r="AF12" s="68" t="inlineStr">
        <is>
          <t>REV. SAME DATE</t>
        </is>
      </c>
      <c r="AL12" s="68" t="inlineStr">
        <is>
          <t>REV. SAME DAYS*</t>
        </is>
      </c>
      <c r="AR12" s="68" t="inlineStr">
        <is>
          <t>AVG PRICE</t>
        </is>
      </c>
      <c r="AX12" s="68">
        <f>"PRICE VS "&amp;Yr_Prev</f>
        <v/>
      </c>
      <c r="BD12" s="42" t="n"/>
      <c r="BE12" s="31" t="n"/>
      <c r="BF12" s="31" t="n"/>
      <c r="BG12" s="31" t="n"/>
      <c r="BH12" s="31" t="n"/>
    </row>
    <row r="13" ht="15" customHeight="1">
      <c r="A13" s="31" t="n"/>
      <c r="B13" s="31" t="n"/>
      <c r="C13" s="31" t="n"/>
      <c r="D13" s="31" t="n"/>
      <c r="E13" s="40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  <c r="AK13" s="69" t="n"/>
      <c r="AL13" s="69" t="n"/>
      <c r="AM13" s="69" t="n"/>
      <c r="AN13" s="69" t="n"/>
      <c r="AO13" s="69" t="n"/>
      <c r="AP13" s="69" t="n"/>
      <c r="AQ13" s="69" t="n"/>
      <c r="AR13" s="69" t="n"/>
      <c r="AS13" s="69" t="n"/>
      <c r="AT13" s="69" t="n"/>
      <c r="AU13" s="69" t="n"/>
      <c r="AV13" s="69" t="n"/>
      <c r="AW13" s="69" t="n"/>
      <c r="AX13" s="69" t="n"/>
      <c r="AY13" s="69" t="n"/>
      <c r="AZ13" s="69" t="n"/>
      <c r="BA13" s="69" t="n"/>
      <c r="BB13" s="69" t="n"/>
      <c r="BC13" s="69" t="n"/>
      <c r="BD13" s="42" t="n"/>
      <c r="BE13" s="31" t="n"/>
      <c r="BF13" s="31" t="n"/>
      <c r="BG13" s="31" t="n"/>
      <c r="BH13" s="31" t="n"/>
    </row>
    <row r="14" ht="15" customHeight="1">
      <c r="A14" s="31" t="n"/>
      <c r="B14" s="31" t="n"/>
      <c r="C14" s="31" t="n"/>
      <c r="D14" s="31" t="n"/>
      <c r="E14" s="40" t="n"/>
      <c r="F14" s="41">
        <f>Calc!$A$6</f>
        <v/>
      </c>
      <c r="N14" s="70">
        <f>IF(Calc!$B$6=1,Calc!$C$6,"–")</f>
        <v/>
      </c>
      <c r="T14" s="71">
        <f>IF(Calc!$B$6=1,Calc!$K$6,"–")</f>
        <v/>
      </c>
      <c r="Z14" s="72">
        <f>IF(Calc!$B$6=1,Calc!$D$6,"–")</f>
        <v/>
      </c>
      <c r="AF14" s="71">
        <f>IF(Calc!$B$6=1,Calc!$L$6,"–")</f>
        <v/>
      </c>
      <c r="AL14" s="71">
        <f>IF(Calc!$B$6=1,Calc!$N$6,"–")</f>
        <v/>
      </c>
      <c r="AR14" s="73">
        <f>IF(Calc!$B$6=1,Calc!$O$6,"–")</f>
        <v/>
      </c>
      <c r="AX14" s="71">
        <f>IF(Calc!$B$6=1,Calc!$Q$6,"–")</f>
        <v/>
      </c>
      <c r="BD14" s="42" t="n"/>
      <c r="BE14" s="31" t="n"/>
      <c r="BF14" s="31" t="n"/>
      <c r="BG14" s="31" t="n"/>
      <c r="BH14" s="31" t="n"/>
    </row>
    <row r="15" ht="15" customHeight="1">
      <c r="A15" s="31" t="n"/>
      <c r="B15" s="31" t="n"/>
      <c r="C15" s="31" t="n"/>
      <c r="D15" s="31" t="n"/>
      <c r="E15" s="40" t="n"/>
      <c r="BD15" s="42" t="n"/>
      <c r="BE15" s="31" t="n"/>
      <c r="BF15" s="31" t="n"/>
      <c r="BG15" s="31" t="n"/>
      <c r="BH15" s="31" t="n"/>
    </row>
    <row r="16" ht="15" customHeight="1">
      <c r="A16" s="31" t="n"/>
      <c r="B16" s="31" t="n"/>
      <c r="C16" s="31" t="n"/>
      <c r="D16" s="31" t="n"/>
      <c r="E16" s="40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74" t="n"/>
      <c r="BA16" s="74" t="n"/>
      <c r="BB16" s="74" t="n"/>
      <c r="BC16" s="74" t="n"/>
      <c r="BD16" s="42" t="n"/>
      <c r="BE16" s="31" t="n"/>
      <c r="BF16" s="31" t="n"/>
      <c r="BG16" s="31" t="n"/>
      <c r="BH16" s="31" t="n"/>
    </row>
    <row r="17" ht="15" customHeight="1">
      <c r="A17" s="31" t="n"/>
      <c r="B17" s="31" t="n"/>
      <c r="C17" s="31" t="n"/>
      <c r="D17" s="31" t="n"/>
      <c r="E17" s="40" t="n"/>
      <c r="F17" s="41">
        <f>Calc!$A$7</f>
        <v/>
      </c>
      <c r="N17" s="70">
        <f>IF(Calc!$B$7=1,Calc!$C$7,"–")</f>
        <v/>
      </c>
      <c r="T17" s="71">
        <f>IF(Calc!$B$7=1,Calc!$K$7,"–")</f>
        <v/>
      </c>
      <c r="Z17" s="72">
        <f>IF(Calc!$B$7=1,Calc!$D$7,"–")</f>
        <v/>
      </c>
      <c r="AF17" s="71">
        <f>IF(Calc!$B$7=1,Calc!$L$7,"–")</f>
        <v/>
      </c>
      <c r="AL17" s="71">
        <f>IF(Calc!$B$7=1,Calc!$N$7,"–")</f>
        <v/>
      </c>
      <c r="AR17" s="73">
        <f>IF(Calc!$B$7=1,Calc!$O$7,"–")</f>
        <v/>
      </c>
      <c r="AX17" s="71">
        <f>IF(Calc!$B$7=1,Calc!$Q$7,"–")</f>
        <v/>
      </c>
      <c r="BD17" s="42" t="n"/>
      <c r="BE17" s="31" t="n"/>
      <c r="BF17" s="31" t="n"/>
      <c r="BG17" s="31" t="n"/>
      <c r="BH17" s="31" t="n"/>
    </row>
    <row r="18" ht="15" customHeight="1">
      <c r="A18" s="31" t="n"/>
      <c r="B18" s="31" t="n"/>
      <c r="C18" s="31" t="n"/>
      <c r="D18" s="31" t="n"/>
      <c r="E18" s="40" t="n"/>
      <c r="BD18" s="42" t="n"/>
      <c r="BE18" s="31" t="n"/>
      <c r="BF18" s="31" t="n"/>
      <c r="BG18" s="31" t="n"/>
      <c r="BH18" s="31" t="n"/>
    </row>
    <row r="19" ht="15" customHeight="1">
      <c r="A19" s="31" t="n"/>
      <c r="B19" s="31" t="n"/>
      <c r="C19" s="31" t="n"/>
      <c r="D19" s="31" t="n"/>
      <c r="E19" s="40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  <c r="AR19" s="74" t="n"/>
      <c r="AS19" s="74" t="n"/>
      <c r="AT19" s="74" t="n"/>
      <c r="AU19" s="74" t="n"/>
      <c r="AV19" s="74" t="n"/>
      <c r="AW19" s="74" t="n"/>
      <c r="AX19" s="74" t="n"/>
      <c r="AY19" s="74" t="n"/>
      <c r="AZ19" s="74" t="n"/>
      <c r="BA19" s="74" t="n"/>
      <c r="BB19" s="74" t="n"/>
      <c r="BC19" s="74" t="n"/>
      <c r="BD19" s="42" t="n"/>
      <c r="BE19" s="31" t="n"/>
      <c r="BF19" s="31" t="n"/>
      <c r="BG19" s="31" t="n"/>
      <c r="BH19" s="31" t="n"/>
    </row>
    <row r="20" ht="15" customHeight="1">
      <c r="A20" s="31" t="n"/>
      <c r="B20" s="31" t="n"/>
      <c r="C20" s="31" t="n"/>
      <c r="D20" s="31" t="n"/>
      <c r="E20" s="40" t="n"/>
      <c r="F20" s="41">
        <f>Calc!$A$8</f>
        <v/>
      </c>
      <c r="N20" s="70">
        <f>IF(Calc!$B$8=1,Calc!$C$8,"–")</f>
        <v/>
      </c>
      <c r="T20" s="71">
        <f>IF(Calc!$B$8=1,Calc!$K$8,"–")</f>
        <v/>
      </c>
      <c r="Z20" s="72">
        <f>IF(Calc!$B$8=1,Calc!$D$8,"–")</f>
        <v/>
      </c>
      <c r="AF20" s="71">
        <f>IF(Calc!$B$8=1,Calc!$L$8,"–")</f>
        <v/>
      </c>
      <c r="AL20" s="71">
        <f>IF(Calc!$B$8=1,Calc!$N$8,"–")</f>
        <v/>
      </c>
      <c r="AR20" s="73">
        <f>IF(Calc!$B$8=1,Calc!$O$8,"–")</f>
        <v/>
      </c>
      <c r="AX20" s="71">
        <f>IF(Calc!$B$8=1,Calc!$Q$8,"–")</f>
        <v/>
      </c>
      <c r="BD20" s="42" t="n"/>
      <c r="BE20" s="31" t="n"/>
      <c r="BF20" s="31" t="n"/>
      <c r="BG20" s="31" t="n"/>
      <c r="BH20" s="31" t="n"/>
    </row>
    <row r="21" ht="15" customHeight="1">
      <c r="A21" s="31" t="n"/>
      <c r="B21" s="31" t="n"/>
      <c r="C21" s="31" t="n"/>
      <c r="D21" s="31" t="n"/>
      <c r="E21" s="40" t="n"/>
      <c r="BD21" s="42" t="n"/>
      <c r="BE21" s="31" t="n"/>
      <c r="BF21" s="31" t="n"/>
      <c r="BG21" s="31" t="n"/>
      <c r="BH21" s="31" t="n"/>
    </row>
    <row r="22" ht="15" customHeight="1">
      <c r="A22" s="31" t="n"/>
      <c r="B22" s="31" t="n"/>
      <c r="C22" s="31" t="n"/>
      <c r="D22" s="31" t="n"/>
      <c r="E22" s="40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4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42" t="n"/>
      <c r="BE22" s="31" t="n"/>
      <c r="BF22" s="31" t="n"/>
      <c r="BG22" s="31" t="n"/>
      <c r="BH22" s="31" t="n"/>
    </row>
    <row r="23" ht="15" customHeight="1">
      <c r="A23" s="31" t="n"/>
      <c r="B23" s="31" t="n"/>
      <c r="C23" s="31" t="n"/>
      <c r="D23" s="31" t="n"/>
      <c r="E23" s="40" t="n"/>
      <c r="F23" s="41" t="inlineStr">
        <is>
          <t>Total</t>
        </is>
      </c>
      <c r="N23" s="75">
        <f>IF(Calc!$B$9=1,Calc!$C$9,"–")</f>
        <v/>
      </c>
      <c r="T23" s="76">
        <f>IF(Calc!$B$9=1,Calc!$K$9,"–")</f>
        <v/>
      </c>
      <c r="Z23" s="77">
        <f>IF(Calc!$B$9=1,Calc!$D$9,"–")</f>
        <v/>
      </c>
      <c r="AF23" s="76">
        <f>IF(Calc!$B$9=1,Calc!$L$9,"–")</f>
        <v/>
      </c>
      <c r="AL23" s="76">
        <f>IF(Calc!$B$9=1,Calc!$N$9,"–")</f>
        <v/>
      </c>
      <c r="AR23" s="78">
        <f>IF(Calc!$B$9=1,Calc!$O$9,"–")</f>
        <v/>
      </c>
      <c r="AX23" s="76">
        <f>IF(Calc!$B$9=1,Calc!$Q$9,"–")</f>
        <v/>
      </c>
      <c r="BD23" s="42" t="n"/>
      <c r="BE23" s="31" t="n"/>
      <c r="BF23" s="31" t="n"/>
      <c r="BG23" s="31" t="n"/>
      <c r="BH23" s="31" t="n"/>
    </row>
    <row r="24" ht="15" customHeight="1">
      <c r="A24" s="31" t="n"/>
      <c r="B24" s="31" t="n"/>
      <c r="C24" s="31" t="n"/>
      <c r="D24" s="31" t="n"/>
      <c r="E24" s="40" t="n"/>
      <c r="BD24" s="42" t="n"/>
      <c r="BE24" s="31" t="n"/>
      <c r="BF24" s="31" t="n"/>
      <c r="BG24" s="31" t="n"/>
      <c r="BH24" s="31" t="n"/>
    </row>
    <row r="25" ht="15" customHeight="1">
      <c r="A25" s="31" t="n"/>
      <c r="B25" s="31" t="n"/>
      <c r="C25" s="31" t="n"/>
      <c r="D25" s="31" t="n"/>
      <c r="E25" s="40" t="n"/>
      <c r="BD25" s="42" t="n"/>
      <c r="BE25" s="31" t="n"/>
      <c r="BF25" s="31" t="n"/>
      <c r="BG25" s="31" t="n"/>
      <c r="BH25" s="31" t="n"/>
    </row>
    <row r="26" ht="15" customHeight="1">
      <c r="A26" s="31" t="n"/>
      <c r="B26" s="31" t="n"/>
      <c r="C26" s="31" t="n"/>
      <c r="D26" s="31" t="n"/>
      <c r="E26" s="48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  <c r="AC26" s="49" t="n"/>
      <c r="AD26" s="49" t="n"/>
      <c r="AE26" s="49" t="n"/>
      <c r="AF26" s="49" t="n"/>
      <c r="AG26" s="49" t="n"/>
      <c r="AH26" s="49" t="n"/>
      <c r="AI26" s="49" t="n"/>
      <c r="AJ26" s="49" t="n"/>
      <c r="AK26" s="49" t="n"/>
      <c r="AL26" s="49" t="n"/>
      <c r="AM26" s="49" t="n"/>
      <c r="AN26" s="49" t="n"/>
      <c r="AO26" s="49" t="n"/>
      <c r="AP26" s="49" t="n"/>
      <c r="AQ26" s="49" t="n"/>
      <c r="AR26" s="49" t="n"/>
      <c r="AS26" s="49" t="n"/>
      <c r="AT26" s="49" t="n"/>
      <c r="AU26" s="49" t="n"/>
      <c r="AV26" s="49" t="n"/>
      <c r="AW26" s="49" t="n"/>
      <c r="AX26" s="49" t="n"/>
      <c r="AY26" s="49" t="n"/>
      <c r="AZ26" s="49" t="n"/>
      <c r="BA26" s="49" t="n"/>
      <c r="BB26" s="49" t="n"/>
      <c r="BC26" s="49" t="n"/>
      <c r="BD26" s="50" t="n"/>
      <c r="BE26" s="31" t="n"/>
      <c r="BF26" s="31" t="n"/>
      <c r="BG26" s="31" t="n"/>
      <c r="BH26" s="31" t="n"/>
    </row>
    <row r="27" ht="15" customHeight="1">
      <c r="A27" s="31" t="n"/>
      <c r="B27" s="31" t="n"/>
      <c r="C27" s="31" t="n"/>
      <c r="D27" s="51" t="inlineStr">
        <is>
          <t>+</t>
        </is>
      </c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  <c r="AJ27" s="31" t="n"/>
      <c r="AK27" s="31" t="n"/>
      <c r="AL27" s="31" t="n"/>
      <c r="AM27" s="31" t="n"/>
      <c r="AN27" s="31" t="n"/>
      <c r="AO27" s="31" t="n"/>
      <c r="AP27" s="31" t="n"/>
      <c r="AQ27" s="31" t="n"/>
      <c r="AR27" s="31" t="n"/>
      <c r="AS27" s="31" t="n"/>
      <c r="AT27" s="31" t="n"/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  <c r="BD27" s="31" t="n"/>
      <c r="BE27" s="52" t="inlineStr">
        <is>
          <t>+</t>
        </is>
      </c>
      <c r="BF27" s="31" t="n"/>
      <c r="BG27" s="31" t="n"/>
      <c r="BH27" s="31" t="n"/>
    </row>
    <row r="28" ht="15" customHeight="1">
      <c r="A28" s="31" t="n"/>
      <c r="B28" s="31" t="n"/>
      <c r="C28" s="31" t="n"/>
      <c r="D28" s="31" t="n"/>
      <c r="E28" s="60">
        <f>Calc!$B$58</f>
        <v/>
      </c>
      <c r="BE28" s="31" t="n"/>
      <c r="BF28" s="31" t="n"/>
      <c r="BG28" s="31" t="n"/>
      <c r="BH28" s="31" t="n"/>
    </row>
    <row r="29" ht="15" customHeight="1">
      <c r="A29" s="31" t="n"/>
      <c r="B29" s="31" t="n"/>
      <c r="C29" s="31" t="n"/>
      <c r="D29" s="31" t="n"/>
      <c r="BE29" s="31" t="n"/>
      <c r="BF29" s="31" t="n"/>
      <c r="BG29" s="31" t="n"/>
      <c r="BH29" s="31" t="n"/>
    </row>
    <row r="30" ht="15" customHeight="1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D30" s="31" t="n"/>
      <c r="BE30" s="31" t="n"/>
      <c r="BF30" s="31" t="n"/>
      <c r="BG30" s="31" t="n"/>
      <c r="BH30" s="31" t="n"/>
    </row>
    <row r="31" ht="15" customHeight="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  <c r="AL31" s="31" t="n"/>
      <c r="AM31" s="31" t="n"/>
      <c r="AN31" s="31" t="n"/>
      <c r="AO31" s="31" t="n"/>
      <c r="AP31" s="31" t="n"/>
      <c r="AQ31" s="31" t="n"/>
      <c r="AR31" s="31" t="n"/>
      <c r="AS31" s="31" t="n"/>
      <c r="AT31" s="31" t="n"/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  <c r="BD31" s="31" t="n"/>
      <c r="BE31" s="31" t="n"/>
      <c r="BF31" s="31" t="n"/>
      <c r="BG31" s="31" t="n"/>
      <c r="BH31" s="31" t="n"/>
    </row>
    <row r="32" ht="15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  <c r="AL32" s="31" t="n"/>
      <c r="AM32" s="31" t="n"/>
      <c r="AN32" s="31" t="n"/>
      <c r="AO32" s="31" t="n"/>
      <c r="AP32" s="31" t="n"/>
      <c r="AQ32" s="31" t="n"/>
      <c r="AR32" s="31" t="n"/>
      <c r="AS32" s="31" t="n"/>
      <c r="AT32" s="31" t="n"/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  <c r="BD32" s="31" t="n"/>
      <c r="BE32" s="31" t="n"/>
      <c r="BF32" s="31" t="n"/>
      <c r="BG32" s="31" t="n"/>
      <c r="BH32" s="31" t="n"/>
    </row>
    <row r="33" ht="15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  <c r="AG33" s="31" t="n"/>
      <c r="AH33" s="31" t="n"/>
      <c r="AI33" s="31" t="n"/>
      <c r="AJ33" s="31" t="n"/>
      <c r="AK33" s="31" t="n"/>
      <c r="AL33" s="31" t="n"/>
      <c r="AM33" s="31" t="n"/>
      <c r="AN33" s="31" t="n"/>
      <c r="AO33" s="31" t="n"/>
      <c r="AP33" s="31" t="n"/>
      <c r="AQ33" s="31" t="n"/>
      <c r="AR33" s="31" t="n"/>
      <c r="AS33" s="31" t="n"/>
      <c r="AT33" s="31" t="n"/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  <c r="BD33" s="31" t="n"/>
      <c r="BE33" s="31" t="n"/>
      <c r="BF33" s="31" t="n"/>
      <c r="BG33" s="31" t="n"/>
      <c r="BH33" s="31" t="n"/>
    </row>
    <row r="34" ht="15" customHeight="1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  <c r="AL34" s="31" t="n"/>
      <c r="AM34" s="31" t="n"/>
      <c r="AN34" s="31" t="n"/>
      <c r="AO34" s="31" t="n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1" t="n"/>
      <c r="BE34" s="31" t="n"/>
      <c r="BF34" s="31" t="n"/>
      <c r="BG34" s="31" t="n"/>
      <c r="BH34" s="31" t="n"/>
    </row>
    <row r="35" ht="15" customHeight="1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  <c r="AL35" s="31" t="n"/>
      <c r="AM35" s="31" t="n"/>
      <c r="AN35" s="31" t="n"/>
      <c r="AO35" s="31" t="n"/>
      <c r="AP35" s="31" t="n"/>
      <c r="AQ35" s="31" t="n"/>
      <c r="AR35" s="31" t="n"/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31" t="n"/>
      <c r="BF35" s="31" t="n"/>
      <c r="BG35" s="31" t="n"/>
      <c r="BH35" s="31" t="n"/>
    </row>
    <row r="36" ht="15" customHeight="1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</row>
  </sheetData>
  <mergeCells count="44">
    <mergeCell ref="AR23:AW25"/>
    <mergeCell ref="AR14:AW16"/>
    <mergeCell ref="AX17:BC19"/>
    <mergeCell ref="N14:S16"/>
    <mergeCell ref="AF14:AK16"/>
    <mergeCell ref="N17:S19"/>
    <mergeCell ref="N23:S25"/>
    <mergeCell ref="Z23:AE25"/>
    <mergeCell ref="Z14:AE16"/>
    <mergeCell ref="T17:Y19"/>
    <mergeCell ref="Z17:AE19"/>
    <mergeCell ref="AL17:AQ19"/>
    <mergeCell ref="N12:S13"/>
    <mergeCell ref="E3:AL3"/>
    <mergeCell ref="Z20:AE22"/>
    <mergeCell ref="AF20:AK22"/>
    <mergeCell ref="AR20:AW22"/>
    <mergeCell ref="F20:M22"/>
    <mergeCell ref="T23:Y25"/>
    <mergeCell ref="AM3:BD3"/>
    <mergeCell ref="Z12:AE13"/>
    <mergeCell ref="AL20:AQ22"/>
    <mergeCell ref="AL14:AQ16"/>
    <mergeCell ref="AL23:AQ25"/>
    <mergeCell ref="AX14:BC16"/>
    <mergeCell ref="E4:BD9"/>
    <mergeCell ref="AF17:AK19"/>
    <mergeCell ref="AF23:AK25"/>
    <mergeCell ref="AX23:BC25"/>
    <mergeCell ref="F23:M25"/>
    <mergeCell ref="E28:BD29"/>
    <mergeCell ref="AR17:AW19"/>
    <mergeCell ref="T12:Y13"/>
    <mergeCell ref="F17:M19"/>
    <mergeCell ref="N20:S22"/>
    <mergeCell ref="AF12:AK13"/>
    <mergeCell ref="AL12:AQ13"/>
    <mergeCell ref="AR12:AW13"/>
    <mergeCell ref="AX12:BC13"/>
    <mergeCell ref="F12:M13"/>
    <mergeCell ref="AX20:BC22"/>
    <mergeCell ref="T14:Y16"/>
    <mergeCell ref="F14:M16"/>
    <mergeCell ref="T20:Y22"/>
  </mergeCells>
  <conditionalFormatting sqref="T14:T25">
    <cfRule type="expression" priority="1" dxfId="2">
      <formula>AND(ISNUMBER(T14),T14&gt;0)</formula>
    </cfRule>
    <cfRule type="expression" priority="6" dxfId="3">
      <formula>T14="–"</formula>
    </cfRule>
  </conditionalFormatting>
  <conditionalFormatting sqref="AF14:AF25">
    <cfRule type="expression" priority="2" dxfId="2">
      <formula>AND(ISNUMBER(AF14),AF14&gt;0)</formula>
    </cfRule>
    <cfRule type="expression" priority="8" dxfId="3">
      <formula>AF14="–"</formula>
    </cfRule>
  </conditionalFormatting>
  <conditionalFormatting sqref="AL14:AL25">
    <cfRule type="expression" priority="3" dxfId="2">
      <formula>AND(ISNUMBER(AL14),AL14&gt;0)</formula>
    </cfRule>
    <cfRule type="expression" priority="9" dxfId="3">
      <formula>AL14="–"</formula>
    </cfRule>
  </conditionalFormatting>
  <conditionalFormatting sqref="AX14:AX25">
    <cfRule type="expression" priority="4" dxfId="2">
      <formula>AND(ISNUMBER(AX14),AX14&gt;0)</formula>
    </cfRule>
    <cfRule type="expression" priority="11" dxfId="3">
      <formula>AX14="–"</formula>
    </cfRule>
  </conditionalFormatting>
  <conditionalFormatting sqref="N14:N25">
    <cfRule type="expression" priority="5" dxfId="3">
      <formula>N14="–"</formula>
    </cfRule>
  </conditionalFormatting>
  <conditionalFormatting sqref="Z14:Z25">
    <cfRule type="expression" priority="7" dxfId="3">
      <formula>Z14="–"</formula>
    </cfRule>
  </conditionalFormatting>
  <conditionalFormatting sqref="AR14:AR25">
    <cfRule type="expression" priority="10" dxfId="3">
      <formula>AR14="–"</formula>
    </cfRule>
  </conditionalFormatting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tabColor rgb="007A7A7D"/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79" t="inlineStr">
        <is>
          <t>Calculation sheet — no inputs here</t>
        </is>
      </c>
    </row>
    <row r="2">
      <c r="A2" s="14" t="inlineStr">
        <is>
          <t>Everything below is computed from Data (only rows 'In comparison' = 1).</t>
        </is>
      </c>
    </row>
    <row r="5" ht="30" customHeight="1">
      <c r="A5" s="80" t="inlineStr">
        <is>
          <t>Product</t>
        </is>
      </c>
      <c r="B5" s="80" t="inlineStr">
        <is>
          <t>In scope</t>
        </is>
      </c>
      <c r="C5" s="80" t="inlineStr">
        <is>
          <t>Units CY</t>
        </is>
      </c>
      <c r="D5" s="80" t="inlineStr">
        <is>
          <t>Rev CY</t>
        </is>
      </c>
      <c r="E5" s="80" t="inlineStr">
        <is>
          <t>Units PY</t>
        </is>
      </c>
      <c r="F5" s="80" t="inlineStr">
        <is>
          <t>Rev PY</t>
        </is>
      </c>
      <c r="G5" s="80" t="inlineStr">
        <is>
          <t>Units PY eq-days</t>
        </is>
      </c>
      <c r="H5" s="80" t="inlineStr">
        <is>
          <t>Rev PY eq-days</t>
        </is>
      </c>
      <c r="I5" s="80" t="inlineStr">
        <is>
          <t>Head-start units</t>
        </is>
      </c>
      <c r="J5" s="80" t="inlineStr">
        <is>
          <t>Head-start rev</t>
        </is>
      </c>
      <c r="K5" s="80" t="inlineStr">
        <is>
          <t>Units Δ same date</t>
        </is>
      </c>
      <c r="L5" s="80" t="inlineStr">
        <is>
          <t>Rev Δ same date</t>
        </is>
      </c>
      <c r="M5" s="80" t="inlineStr">
        <is>
          <t>Units Δ equal days</t>
        </is>
      </c>
      <c r="N5" s="80" t="inlineStr">
        <is>
          <t>Rev Δ equal days</t>
        </is>
      </c>
      <c r="O5" s="80" t="inlineStr">
        <is>
          <t>Avg price CY</t>
        </is>
      </c>
      <c r="P5" s="80" t="inlineStr">
        <is>
          <t>Avg price PY</t>
        </is>
      </c>
      <c r="Q5" s="80" t="inlineStr">
        <is>
          <t>Price Δ</t>
        </is>
      </c>
    </row>
    <row r="6">
      <c r="A6" s="81">
        <f>Control!B11</f>
        <v/>
      </c>
      <c r="B6" s="81">
        <f>IF(Control!C11="Yes",1,0)</f>
        <v/>
      </c>
      <c r="C6" s="82">
        <f>SUMIFS(Dat_F,Dat_J,"CY",Dat_L,1,Dat_B,$A6)</f>
        <v/>
      </c>
      <c r="D6" s="83">
        <f>SUMIFS(Dat_G,Dat_J,"CY",Dat_L,1,Dat_B,$A6)</f>
        <v/>
      </c>
      <c r="E6" s="82">
        <f>SUMIFS(Dat_F,Dat_J,"PY",Dat_L,1,Dat_B,$A6)</f>
        <v/>
      </c>
      <c r="F6" s="83">
        <f>SUMIFS(Dat_G,Dat_J,"PY",Dat_L,1,Dat_B,$A6)</f>
        <v/>
      </c>
      <c r="G6" s="82">
        <f>SUMIFS(Dat_O,Dat_J,"PY",Dat_L,1,Dat_B,$A6)</f>
        <v/>
      </c>
      <c r="H6" s="83">
        <f>SUMIFS(Dat_P,Dat_J,"PY",Dat_L,1,Dat_B,$A6)</f>
        <v/>
      </c>
      <c r="I6" s="82">
        <f>SUMIFS(Dat_Q,Dat_J,"PY",Dat_L,1,Dat_B,$A6)</f>
        <v/>
      </c>
      <c r="J6" s="83">
        <f>SUMIFS(Dat_R,Dat_J,"PY",Dat_L,1,Dat_B,$A6)</f>
        <v/>
      </c>
      <c r="K6" s="84">
        <f>IF(E6&gt;0,C6/E6-1,"n/a")</f>
        <v/>
      </c>
      <c r="L6" s="84">
        <f>IF(F6&gt;0,D6/F6-1,"n/a")</f>
        <v/>
      </c>
      <c r="M6" s="84">
        <f>IF(G6&gt;0,C6/G6-1,"n/a")</f>
        <v/>
      </c>
      <c r="N6" s="84">
        <f>IF(H6&gt;0,D6/H6-1,"n/a")</f>
        <v/>
      </c>
      <c r="O6" s="85">
        <f>IF(C6&gt;0,D6/C6,"n/a")</f>
        <v/>
      </c>
      <c r="P6" s="85">
        <f>IF(E6&gt;0,F6/E6,"n/a")</f>
        <v/>
      </c>
      <c r="Q6" s="84">
        <f>IF(AND(ISNUMBER(O6),ISNUMBER(P6)),O6/P6-1,"n/a")</f>
        <v/>
      </c>
    </row>
    <row r="7">
      <c r="A7" s="81">
        <f>Control!B12</f>
        <v/>
      </c>
      <c r="B7" s="81">
        <f>IF(Control!C12="Yes",1,0)</f>
        <v/>
      </c>
      <c r="C7" s="82">
        <f>SUMIFS(Dat_F,Dat_J,"CY",Dat_L,1,Dat_B,$A7)</f>
        <v/>
      </c>
      <c r="D7" s="83">
        <f>SUMIFS(Dat_G,Dat_J,"CY",Dat_L,1,Dat_B,$A7)</f>
        <v/>
      </c>
      <c r="E7" s="82">
        <f>SUMIFS(Dat_F,Dat_J,"PY",Dat_L,1,Dat_B,$A7)</f>
        <v/>
      </c>
      <c r="F7" s="83">
        <f>SUMIFS(Dat_G,Dat_J,"PY",Dat_L,1,Dat_B,$A7)</f>
        <v/>
      </c>
      <c r="G7" s="82">
        <f>SUMIFS(Dat_O,Dat_J,"PY",Dat_L,1,Dat_B,$A7)</f>
        <v/>
      </c>
      <c r="H7" s="83">
        <f>SUMIFS(Dat_P,Dat_J,"PY",Dat_L,1,Dat_B,$A7)</f>
        <v/>
      </c>
      <c r="I7" s="82">
        <f>SUMIFS(Dat_Q,Dat_J,"PY",Dat_L,1,Dat_B,$A7)</f>
        <v/>
      </c>
      <c r="J7" s="83">
        <f>SUMIFS(Dat_R,Dat_J,"PY",Dat_L,1,Dat_B,$A7)</f>
        <v/>
      </c>
      <c r="K7" s="84">
        <f>IF(E7&gt;0,C7/E7-1,"n/a")</f>
        <v/>
      </c>
      <c r="L7" s="84">
        <f>IF(F7&gt;0,D7/F7-1,"n/a")</f>
        <v/>
      </c>
      <c r="M7" s="84">
        <f>IF(G7&gt;0,C7/G7-1,"n/a")</f>
        <v/>
      </c>
      <c r="N7" s="84">
        <f>IF(H7&gt;0,D7/H7-1,"n/a")</f>
        <v/>
      </c>
      <c r="O7" s="85">
        <f>IF(C7&gt;0,D7/C7,"n/a")</f>
        <v/>
      </c>
      <c r="P7" s="85">
        <f>IF(E7&gt;0,F7/E7,"n/a")</f>
        <v/>
      </c>
      <c r="Q7" s="84">
        <f>IF(AND(ISNUMBER(O7),ISNUMBER(P7)),O7/P7-1,"n/a")</f>
        <v/>
      </c>
    </row>
    <row r="8">
      <c r="A8" s="81">
        <f>Control!B13</f>
        <v/>
      </c>
      <c r="B8" s="81">
        <f>IF(Control!C13="Yes",1,0)</f>
        <v/>
      </c>
      <c r="C8" s="82">
        <f>SUMIFS(Dat_F,Dat_J,"CY",Dat_L,1,Dat_B,$A8)</f>
        <v/>
      </c>
      <c r="D8" s="83">
        <f>SUMIFS(Dat_G,Dat_J,"CY",Dat_L,1,Dat_B,$A8)</f>
        <v/>
      </c>
      <c r="E8" s="82">
        <f>SUMIFS(Dat_F,Dat_J,"PY",Dat_L,1,Dat_B,$A8)</f>
        <v/>
      </c>
      <c r="F8" s="83">
        <f>SUMIFS(Dat_G,Dat_J,"PY",Dat_L,1,Dat_B,$A8)</f>
        <v/>
      </c>
      <c r="G8" s="82">
        <f>SUMIFS(Dat_O,Dat_J,"PY",Dat_L,1,Dat_B,$A8)</f>
        <v/>
      </c>
      <c r="H8" s="83">
        <f>SUMIFS(Dat_P,Dat_J,"PY",Dat_L,1,Dat_B,$A8)</f>
        <v/>
      </c>
      <c r="I8" s="82">
        <f>SUMIFS(Dat_Q,Dat_J,"PY",Dat_L,1,Dat_B,$A8)</f>
        <v/>
      </c>
      <c r="J8" s="83">
        <f>SUMIFS(Dat_R,Dat_J,"PY",Dat_L,1,Dat_B,$A8)</f>
        <v/>
      </c>
      <c r="K8" s="84">
        <f>IF(E8&gt;0,C8/E8-1,"n/a")</f>
        <v/>
      </c>
      <c r="L8" s="84">
        <f>IF(F8&gt;0,D8/F8-1,"n/a")</f>
        <v/>
      </c>
      <c r="M8" s="84">
        <f>IF(G8&gt;0,C8/G8-1,"n/a")</f>
        <v/>
      </c>
      <c r="N8" s="84">
        <f>IF(H8&gt;0,D8/H8-1,"n/a")</f>
        <v/>
      </c>
      <c r="O8" s="85">
        <f>IF(C8&gt;0,D8/C8,"n/a")</f>
        <v/>
      </c>
      <c r="P8" s="85">
        <f>IF(E8&gt;0,F8/E8,"n/a")</f>
        <v/>
      </c>
      <c r="Q8" s="84">
        <f>IF(AND(ISNUMBER(O8),ISNUMBER(P8)),O8/P8-1,"n/a")</f>
        <v/>
      </c>
    </row>
    <row r="9">
      <c r="A9" s="86" t="inlineStr">
        <is>
          <t>Total</t>
        </is>
      </c>
      <c r="B9" s="86" t="n">
        <v>1</v>
      </c>
      <c r="C9" s="87">
        <f>SUMIFS(Dat_F,Dat_J,"CY",Dat_L,1)</f>
        <v/>
      </c>
      <c r="D9" s="88">
        <f>SUMIFS(Dat_G,Dat_J,"CY",Dat_L,1)</f>
        <v/>
      </c>
      <c r="E9" s="87">
        <f>SUMIFS(Dat_F,Dat_J,"PY",Dat_L,1)</f>
        <v/>
      </c>
      <c r="F9" s="88">
        <f>SUMIFS(Dat_G,Dat_J,"PY",Dat_L,1)</f>
        <v/>
      </c>
      <c r="G9" s="87">
        <f>SUMIFS(Dat_O,Dat_J,"PY",Dat_L,1)</f>
        <v/>
      </c>
      <c r="H9" s="88">
        <f>SUMIFS(Dat_P,Dat_J,"PY",Dat_L,1)</f>
        <v/>
      </c>
      <c r="I9" s="87">
        <f>SUMIFS(Dat_Q,Dat_J,"PY",Dat_L,1)</f>
        <v/>
      </c>
      <c r="J9" s="88">
        <f>SUMIFS(Dat_R,Dat_J,"PY",Dat_L,1)</f>
        <v/>
      </c>
      <c r="K9" s="89">
        <f>IF(E9&gt;0,C9/E9-1,"n/a")</f>
        <v/>
      </c>
      <c r="L9" s="89">
        <f>IF(F9&gt;0,D9/F9-1,"n/a")</f>
        <v/>
      </c>
      <c r="M9" s="89">
        <f>IF(G9&gt;0,C9/G9-1,"n/a")</f>
        <v/>
      </c>
      <c r="N9" s="89">
        <f>IF(H9&gt;0,D9/H9-1,"n/a")</f>
        <v/>
      </c>
      <c r="O9" s="90">
        <f>IF(C9&gt;0,D9/C9,"n/a")</f>
        <v/>
      </c>
      <c r="P9" s="90">
        <f>IF(E9&gt;0,F9/E9,"n/a")</f>
        <v/>
      </c>
      <c r="Q9" s="89">
        <f>IF(AND(ISNUMBER(O9),ISNUMBER(P9)),O9/P9-1,"n/a")</f>
        <v/>
      </c>
    </row>
    <row r="12">
      <c r="A12" s="91" t="inlineStr">
        <is>
          <t>Item</t>
        </is>
      </c>
      <c r="B12" s="91" t="inlineStr">
        <is>
          <t>Value</t>
        </is>
      </c>
    </row>
    <row r="13">
      <c r="A13" s="86" t="inlineStr">
        <is>
          <t>report_date</t>
        </is>
      </c>
      <c r="B13" s="92">
        <f>IF(ISNUMBER(Control!C18),Control!C18,0)</f>
        <v/>
      </c>
    </row>
    <row r="14">
      <c r="A14" s="86" t="inlineStr">
        <is>
          <t>d_cy</t>
        </is>
      </c>
      <c r="B14" s="93">
        <f>IFERROR(_xlfn.MAXIFS(Dat_M,Dat_L,1),0)</f>
        <v/>
      </c>
    </row>
    <row r="15">
      <c r="A15" s="86" t="inlineStr">
        <is>
          <t>d_cy_min</t>
        </is>
      </c>
      <c r="B15" s="93">
        <f>IFERROR(_xlfn.MINIFS(Dat_M,Dat_L,1),0)</f>
        <v/>
      </c>
    </row>
    <row r="16">
      <c r="A16" s="86" t="inlineStr">
        <is>
          <t>d_py</t>
        </is>
      </c>
      <c r="B16" s="93">
        <f>IFERROR(_xlfn.MAXIFS(Dat_N,Dat_L,1),0)</f>
        <v/>
      </c>
    </row>
    <row r="17">
      <c r="A17" s="86" t="inlineStr">
        <is>
          <t>d_py_min</t>
        </is>
      </c>
      <c r="B17" s="93">
        <f>IFERROR(_xlfn.MINIFS(Dat_N,Dat_L,1),0)</f>
        <v/>
      </c>
    </row>
    <row r="18">
      <c r="A18" s="86" t="inlineStr">
        <is>
          <t>hs_days</t>
        </is>
      </c>
      <c r="B18" s="93">
        <f>Calc!$B$16-Calc!$B$14</f>
        <v/>
      </c>
    </row>
    <row r="19">
      <c r="A19" s="86" t="inlineStr">
        <is>
          <t>launch_cy_min</t>
        </is>
      </c>
      <c r="B19" s="92">
        <f>IFERROR(_xlfn.MINIFS(Dat_D,Dat_J,"CY",Dat_L,1),0)</f>
        <v/>
      </c>
    </row>
    <row r="20">
      <c r="A20" s="86" t="inlineStr">
        <is>
          <t>launch_cy_max</t>
        </is>
      </c>
      <c r="B20" s="92">
        <f>IFERROR(_xlfn.MAXIFS(Dat_D,Dat_J,"CY",Dat_L,1),0)</f>
        <v/>
      </c>
    </row>
    <row r="21">
      <c r="A21" s="86" t="inlineStr">
        <is>
          <t>launch_py_min</t>
        </is>
      </c>
      <c r="B21" s="92">
        <f>IFERROR(_xlfn.MINIFS(Dat_D,Dat_J,"PY",Dat_L,1),0)</f>
        <v/>
      </c>
    </row>
    <row r="22">
      <c r="A22" s="86" t="inlineStr">
        <is>
          <t>launch_py_max</t>
        </is>
      </c>
      <c r="B22" s="92">
        <f>IFERROR(_xlfn.MAXIFS(Dat_D,Dat_J,"PY",Dat_L,1),0)</f>
        <v/>
      </c>
    </row>
    <row r="23">
      <c r="A23" s="86" t="inlineStr">
        <is>
          <t>market</t>
        </is>
      </c>
      <c r="B23" s="93">
        <f>IF(Sel_Market="All markets","All markets",Sel_Market)</f>
        <v/>
      </c>
    </row>
    <row r="24">
      <c r="A24" s="86" t="inlineStr">
        <is>
          <t>gap_rev</t>
        </is>
      </c>
      <c r="B24" s="94">
        <f>Calc!$F$9-Calc!$D$9</f>
        <v/>
      </c>
    </row>
    <row r="25">
      <c r="A25" s="86" t="inlineStr">
        <is>
          <t>gap_units</t>
        </is>
      </c>
      <c r="B25" s="94">
        <f>Calc!$E$9-Calc!$C$9</f>
        <v/>
      </c>
    </row>
    <row r="26">
      <c r="A26" s="86" t="inlineStr">
        <is>
          <t>share_rev</t>
        </is>
      </c>
      <c r="B26" s="95">
        <f>IF(Calc!$B$24&gt;0,Calc!$J$9/Calc!$B$24,"n/a")</f>
        <v/>
      </c>
    </row>
    <row r="27">
      <c r="A27" s="86" t="inlineStr">
        <is>
          <t>share_units</t>
        </is>
      </c>
      <c r="B27" s="95">
        <f>IF(Calc!$B$25&gt;0,Calc!$I$9/Calc!$B$25,"n/a")</f>
        <v/>
      </c>
    </row>
    <row r="28">
      <c r="A28" s="86" t="inlineStr">
        <is>
          <t>gap_rev_eq</t>
        </is>
      </c>
      <c r="B28" s="94">
        <f>Calc!$B$24-Calc!$J$9</f>
        <v/>
      </c>
    </row>
    <row r="29">
      <c r="A29" s="86" t="inlineStr">
        <is>
          <t>gap_units_eq</t>
        </is>
      </c>
      <c r="B29" s="94">
        <f>Calc!$B$25-Calc!$I$9</f>
        <v/>
      </c>
    </row>
    <row r="30">
      <c r="A30" s="86" t="inlineStr">
        <is>
          <t>share_phrase</t>
        </is>
      </c>
      <c r="B30" s="93">
        <f>IF(ISNUMBER(Calc!$B$26),IF(ABS(Calc!$B$26-0.5)&lt;=0.1,"half the revenue gap",ROUND(Calc!$B$26*100,0)&amp;"% of the revenue gap"),"")</f>
        <v/>
      </c>
    </row>
    <row r="31">
      <c r="A31" s="86" t="inlineStr">
        <is>
          <t>multi_note</t>
        </is>
      </c>
      <c r="B31" s="93">
        <f>IF(OR(Calc!$B$14&lt;&gt;Calc!$B$15,Calc!$B$16&lt;&gt;Calc!$B$17)," Days shown are for the longest-running market; estimates are computed market by market.","")</f>
        <v/>
      </c>
    </row>
    <row r="32">
      <c r="A32" s="86" t="inlineStr">
        <is>
          <t>scope_raw</t>
        </is>
      </c>
      <c r="B32" s="93">
        <f>SUBSTITUTE(TRIM(IF($B$6=1,$A$6&amp;" ","")&amp;IF($B$7=1,$A$7&amp;" ","")&amp;IF($B$8=1,$A$8&amp;" ",""))," ","|")</f>
        <v/>
      </c>
    </row>
    <row r="33">
      <c r="A33" s="86" t="inlineStr">
        <is>
          <t>scope_and</t>
        </is>
      </c>
      <c r="B33" s="93">
        <f>IF(LEN(Calc!$B$32)-LEN(SUBSTITUTE(Calc!$B$32,"|",""))=2,SUBSTITUTE(SUBSTITUTE(Calc!$B$32,"|",", ",1),"|"," and "),SUBSTITUTE(Calc!$B$32,"|"," and "))</f>
        <v/>
      </c>
    </row>
    <row r="34">
      <c r="A34" s="86" t="inlineStr">
        <is>
          <t>scope_plus</t>
        </is>
      </c>
      <c r="B34" s="93">
        <f>SUBSTITUTE(Calc!$B$32,"|"," + ")</f>
        <v/>
      </c>
    </row>
    <row r="35">
      <c r="A35" s="86" t="inlineStr">
        <is>
          <t>excl_raw</t>
        </is>
      </c>
      <c r="B35" s="93">
        <f>SUBSTITUTE(TRIM(IF($B$6=0,$A$6&amp;" ","")&amp;IF($B$7=0,$A$7&amp;" ","")&amp;IF($B$8=0,$A$8&amp;" ",""))," ","|")</f>
        <v/>
      </c>
    </row>
    <row r="36">
      <c r="A36" s="86" t="inlineStr">
        <is>
          <t>excluded</t>
        </is>
      </c>
      <c r="B36" s="93">
        <f>IF(Calc!$B$35="","All products included",SUBSTITUTE(Calc!$B$35,"|"," and ")&amp;" excluded")</f>
        <v/>
      </c>
    </row>
    <row r="37">
      <c r="A37" s="86" t="inlineStr">
        <is>
          <t>t_launch_cy</t>
        </is>
      </c>
      <c r="B37" s="93">
        <f>IF(Calc!$B$19=0,"n/a",IF(Calc!$B$19=Calc!$B$20,IF(Calc!$B$19=0,"n/a",DAY(Calc!$B$19)&amp;" "&amp;CHOOSE(MONTH(Calc!$B$19),"Jan","Feb","Mar","Apr","May","Jun","Jul","Aug","Sep","Oct","Nov","Dec")),IF(Calc!$B$19=0,"n/a",DAY(Calc!$B$19)&amp;" "&amp;CHOOSE(MONTH(Calc!$B$19),"Jan","Feb","Mar","Apr","May","Jun","Jul","Aug","Sep","Oct","Nov","Dec"))&amp;" – "&amp;IF(Calc!$B$20=0,"n/a",DAY(Calc!$B$20)&amp;" "&amp;CHOOSE(MONTH(Calc!$B$20),"Jan","Feb","Mar","Apr","May","Jun","Jul","Aug","Sep","Oct","Nov","Dec"))))</f>
        <v/>
      </c>
    </row>
    <row r="38">
      <c r="A38" s="86" t="inlineStr">
        <is>
          <t>t_launch_py</t>
        </is>
      </c>
      <c r="B38" s="93">
        <f>IF(Calc!$B$21=0,"n/a",IF(Calc!$B$21=Calc!$B$22,IF(Calc!$B$21=0,"n/a",DAY(Calc!$B$21)&amp;" "&amp;CHOOSE(MONTH(Calc!$B$21),"Jan","Feb","Mar","Apr","May","Jun","Jul","Aug","Sep","Oct","Nov","Dec")),IF(Calc!$B$21=0,"n/a",DAY(Calc!$B$21)&amp;" "&amp;CHOOSE(MONTH(Calc!$B$21),"Jan","Feb","Mar","Apr","May","Jun","Jul","Aug","Sep","Oct","Nov","Dec"))&amp;" – "&amp;IF(Calc!$B$22=0,"n/a",DAY(Calc!$B$22)&amp;" "&amp;CHOOSE(MONTH(Calc!$B$22),"Jan","Feb","Mar","Apr","May","Jun","Jul","Aug","Sep","Oct","Nov","Dec"))))</f>
        <v/>
      </c>
    </row>
    <row r="39">
      <c r="A39" s="86" t="inlineStr">
        <is>
          <t>t_report_short</t>
        </is>
      </c>
      <c r="B39" s="93">
        <f>IF(Calc!$B$13=0,"n/a",DAY(Calc!$B$13)&amp;" "&amp;CHOOSE(MONTH(Calc!$B$13),"Jan","Feb","Mar","Apr","May","Jun","Jul","Aug","Sep","Oct","Nov","Dec"))</f>
        <v/>
      </c>
    </row>
    <row r="40">
      <c r="A40" s="86" t="inlineStr">
        <is>
          <t>t_report_long</t>
        </is>
      </c>
      <c r="B40" s="93">
        <f>IF(Calc!$B$13=0,"",UPPER(DAY(Calc!$B$13)&amp;" "&amp;CHOOSE(MONTH(Calc!$B$13),"January","February","March","April","May","June","July","August","September","October","November","December")&amp;" "&amp;YEAR(Calc!$B$13)))</f>
        <v/>
      </c>
    </row>
    <row r="41">
      <c r="A41" s="86" t="inlineStr">
        <is>
          <t>k_cover_left</t>
        </is>
      </c>
      <c r="B41" s="93">
        <f>UPPER("Sales update · "&amp;Calc!$B$23)</f>
        <v/>
      </c>
    </row>
    <row r="42">
      <c r="A42" s="86" t="inlineStr">
        <is>
          <t>k_cover_sub</t>
        </is>
      </c>
      <c r="B42" s="93">
        <f>"First results "&amp;Yr_Cur&amp;" vs "&amp;Yr_Prev</f>
        <v/>
      </c>
    </row>
    <row r="43">
      <c r="A43" s="86" t="inlineStr">
        <is>
          <t>k_cover_scope</t>
        </is>
      </c>
      <c r="B43" s="93">
        <f>"Scope: "&amp;Calc!$B$33</f>
        <v/>
      </c>
    </row>
    <row r="44">
      <c r="A44" s="86" t="inlineStr">
        <is>
          <t>k_cover_l1</t>
        </is>
      </c>
      <c r="B44" s="93">
        <f>"Launch "&amp;Yr_Cur&amp;": "&amp;Calc!$B$37</f>
        <v/>
      </c>
    </row>
    <row r="45">
      <c r="A45" s="86" t="inlineStr">
        <is>
          <t>k_cover_l2</t>
        </is>
      </c>
      <c r="B45" s="93">
        <f>"Launch "&amp;Yr_Prev&amp;": "&amp;Calc!$B$38</f>
        <v/>
      </c>
    </row>
    <row r="46">
      <c r="A46" s="86" t="inlineStr">
        <is>
          <t>k_summary</t>
        </is>
      </c>
      <c r="B46" s="93">
        <f>UPPER("Summary · launch to "&amp;Calc!$B$39&amp;" "&amp;Yr_Cur&amp;" vs "&amp;Yr_Prev)</f>
        <v/>
      </c>
    </row>
    <row r="47">
      <c r="A47" s="86" t="inlineStr">
        <is>
          <t>h_summary</t>
        </is>
      </c>
      <c r="B47" s="93">
        <f>IF(ISNUMBER(Calc!$L$9),IF(Calc!$L$9&lt;0,IF(AND(Calc!$B$18&gt;0,Calc!$B$30&lt;&gt;""),"Behind "&amp;Yr_Prev&amp;", with "&amp;Calc!$B$30&amp;" from a later launch","Behind "&amp;Yr_Prev),"Ahead of "&amp;Yr_Prev),"No comparison data yet — add rows on the Data sheet")</f>
        <v/>
      </c>
    </row>
    <row r="48">
      <c r="A48" s="86" t="inlineStr">
        <is>
          <t>h_launch</t>
        </is>
      </c>
      <c r="B48" s="93">
        <f>IF(Calc!$B$18&gt;0,Yr_Prev&amp;" had a "&amp;Calc!$B$18&amp;"-day head start"&amp;IF(Calc!$B$30&lt;&gt;"",", worth about "&amp;Calc!$B$30,""),IF(Calc!$B$18&lt;0,Yr_Cur&amp;" launched "&amp;-Calc!$B$18&amp;" days earlier than "&amp;Yr_Prev,"Both years launched on the same day"))</f>
        <v/>
      </c>
    </row>
    <row r="49">
      <c r="A49" s="86" t="inlineStr">
        <is>
          <t>h_total</t>
        </is>
      </c>
      <c r="B49" s="93">
        <f>IF(ISNUMBER(Calc!$L$9),IF(Calc!$L$9&lt;0,IF(Calc!$B$18&gt;0,"Total sales are behind "&amp;Yr_Prev&amp;", partly due to the later launch","Total sales are behind "&amp;Yr_Prev),"Total sales are ahead of "&amp;Yr_Prev),"No comparison data yet")</f>
        <v/>
      </c>
    </row>
    <row r="50">
      <c r="A50" s="86" t="inlineStr">
        <is>
          <t>h_size</t>
        </is>
      </c>
      <c r="B50" s="93">
        <f>IF(AND(ISNUMBER(Calc!$L$6),ISNUMBER(Calc!$L$7)),IF(AND(Calc!$L$6&lt;0,Calc!$L$7&gt;0),"The 24-day drives the decline; the 12-day is growing",IF(AND(Calc!$L$6&gt;0,Calc!$L$7&lt;0),"The 12-day drives the decline; the 24-day is growing",IF(AND(Calc!$L$6&gt;=0,Calc!$L$7&gt;=0),"Both sizes are growing","Both sizes are behind "&amp;Yr_Prev))),"Sales by size")</f>
        <v/>
      </c>
    </row>
    <row r="51">
      <c r="A51" s="86" t="inlineStr">
        <is>
          <t>k_launch</t>
        </is>
      </c>
      <c r="B51" s="93">
        <f>"LAUNCH TIMING"</f>
        <v/>
      </c>
    </row>
    <row r="52">
      <c r="A52" s="86" t="inlineStr">
        <is>
          <t>k_total</t>
        </is>
      </c>
      <c r="B52" s="93">
        <f>"TOTAL · "&amp;Calc!$B$34</f>
        <v/>
      </c>
    </row>
    <row r="53">
      <c r="A53" s="86" t="inlineStr">
        <is>
          <t>k_size</t>
        </is>
      </c>
      <c r="B53" s="93">
        <f>"BY SIZE · LAUNCH TO "&amp;UPPER(Calc!$B$39)</f>
        <v/>
      </c>
    </row>
    <row r="54">
      <c r="A54" s="86" t="inlineStr">
        <is>
          <t>strip_title</t>
        </is>
      </c>
      <c r="B54" s="93">
        <f>IF(Calc!$B$18&gt;0,"Launch +"&amp;Calc!$B$18&amp;" days later",IF(Calc!$B$18&lt;0,"Launch "&amp;-Calc!$B$18&amp;" days earlier","Same launch timing"))</f>
        <v/>
      </c>
    </row>
    <row r="55">
      <c r="A55" s="86" t="inlineStr">
        <is>
          <t>strip_detail</t>
        </is>
      </c>
      <c r="B55" s="93">
        <f>Calc!$B$37&amp;" vs "&amp;Calc!$B$38&amp;" · "&amp;Calc!$B$14&amp;" vs "&amp;Calc!$B$16&amp;" selling days · "&amp;IF(Calc!$B$18&gt;0,Yr_Prev&amp;" head start worth","Launch-timing effect")&amp;" ~€"&amp;FIXED(ROUND(Calc!$J$9,-2),0)&amp;" and ~"&amp;FIXED(ROUND(Calc!$I$9,0),0)&amp;" units (est.)"</f>
        <v/>
      </c>
    </row>
    <row r="56">
      <c r="A56" s="86" t="inlineStr">
        <is>
          <t>fn_launch</t>
        </is>
      </c>
      <c r="B56" s="93">
        <f>IF(Calc!$B$18&lt;=0,"Estimate: "&amp;Yr_Prev&amp;" sales pro rata for the difference in selling days. "&amp;Calc!$B$34&amp;"; "&amp;Calc!$B$36&amp;"."&amp;Calc!$B$31,"Estimate: "&amp;Yr_Prev&amp;" sales to "&amp;Calc!$B$39&amp;" spread evenly over "&amp;Calc!$B$16&amp;" days (× "&amp;Calc!$B$18&amp;"/"&amp;Calc!$B$16&amp;"). Early days are likely slower, so this is an upper bound. "&amp;Calc!$B$34&amp;"; "&amp;Calc!$B$36&amp;"."&amp;Calc!$B$31)</f>
        <v/>
      </c>
    </row>
    <row r="57">
      <c r="A57" s="86" t="inlineStr">
        <is>
          <t>fn_total</t>
        </is>
      </c>
      <c r="B57" s="93">
        <f>Yr_Prev&amp;" same-days figures estimated pro rata ("&amp;Yr_Prev&amp;" to "&amp;Calc!$B$39&amp;" × "&amp;Calc!$B$14&amp;"/"&amp;Calc!$B$16&amp;"). "&amp;Calc!$B$36&amp;"."&amp;Calc!$B$31</f>
        <v/>
      </c>
    </row>
    <row r="58">
      <c r="A58" s="86" t="inlineStr">
        <is>
          <t>fn_size</t>
        </is>
      </c>
      <c r="B58" s="93">
        <f>"* First "&amp;Calc!$B$14&amp;" days after launch; "&amp;Yr_Prev&amp;" estimated pro rata. Gains shown in blue. "&amp;Calc!$B$36&amp;"."&amp;Calc!$B$31</f>
        <v/>
      </c>
    </row>
    <row r="59">
      <c r="A59" s="86" t="inlineStr">
        <is>
          <t>sub_total_a</t>
        </is>
      </c>
      <c r="B59" s="93">
        <f>"Launch to "&amp;Calc!$B$39&amp;" · "&amp;Calc!$B$14&amp;" vs "&amp;Calc!$B$16&amp;" selling days"</f>
        <v/>
      </c>
    </row>
    <row r="60">
      <c r="A60" s="86" t="inlineStr">
        <is>
          <t>sub_total_b</t>
        </is>
      </c>
      <c r="B60" s="93">
        <f>"First "&amp;Calc!$B$14&amp;" days · "&amp;Yr_Prev&amp;" estimated"</f>
        <v/>
      </c>
    </row>
    <row r="61">
      <c r="A61" s="86" t="inlineStr">
        <is>
          <t>vs_rev</t>
        </is>
      </c>
      <c r="B61" s="93">
        <f>"vs €"&amp;FIXED(Calc!$F$9,0)&amp;" in "&amp;Yr_Prev</f>
        <v/>
      </c>
    </row>
    <row r="62">
      <c r="A62" s="86" t="inlineStr">
        <is>
          <t>vs_units</t>
        </is>
      </c>
      <c r="B62" s="93">
        <f>"vs "&amp;FIXED(Calc!$E$9,0)&amp;" in "&amp;Yr_Prev</f>
        <v/>
      </c>
    </row>
    <row r="63">
      <c r="A63" s="86" t="inlineStr">
        <is>
          <t>vs_rev_eq</t>
        </is>
      </c>
      <c r="B63" s="93">
        <f>"vs ~€"&amp;FIXED(ROUND(Calc!$H$9,-2),0)&amp;" in "&amp;Yr_Prev</f>
        <v/>
      </c>
    </row>
    <row r="64">
      <c r="A64" s="86" t="inlineStr">
        <is>
          <t>vs_units_eq</t>
        </is>
      </c>
      <c r="B64" s="93">
        <f>"vs ~"&amp;FIXED(ROUND(Calc!$G$9,0),0)&amp;" in "&amp;Yr_Prev</f>
        <v/>
      </c>
    </row>
    <row r="65">
      <c r="A65" s="86" t="inlineStr">
        <is>
          <t>st_l1</t>
        </is>
      </c>
      <c r="B65" s="93">
        <f>UPPER("Head-start revenue "&amp;Yr_Prev)</f>
        <v/>
      </c>
    </row>
    <row r="66">
      <c r="A66" s="86" t="inlineStr">
        <is>
          <t>st_l2</t>
        </is>
      </c>
      <c r="B66" s="93">
        <f>UPPER("Head-start units "&amp;Yr_Prev)</f>
        <v/>
      </c>
    </row>
    <row r="67">
      <c r="A67" s="86" t="inlineStr">
        <is>
          <t>st_v1</t>
        </is>
      </c>
      <c r="B67" s="93">
        <f>"~€"&amp;FIXED(ROUND(Calc!$J$9,-2),0)</f>
        <v/>
      </c>
    </row>
    <row r="68">
      <c r="A68" s="86" t="inlineStr">
        <is>
          <t>st_v2</t>
        </is>
      </c>
      <c r="B68" s="93">
        <f>"~"&amp;FIXED(ROUND(Calc!$I$9,0),0)</f>
        <v/>
      </c>
    </row>
    <row r="69">
      <c r="A69" s="86" t="inlineStr">
        <is>
          <t>st_v3</t>
        </is>
      </c>
      <c r="B69" s="93">
        <f>"~€"&amp;FIXED(ROUND(Calc!$B$28,-2),0)</f>
        <v/>
      </c>
    </row>
    <row r="70">
      <c r="A70" s="86" t="inlineStr">
        <is>
          <t>st_s1</t>
        </is>
      </c>
      <c r="B70" s="93">
        <f>IF(ISNUMBER(Calc!$B$26),ROUND(Calc!$B$26*100,0)&amp;"% of the €"&amp;FIXED(Calc!$B$24,0)&amp;" revenue gap","no revenue gap")</f>
        <v/>
      </c>
    </row>
    <row r="71">
      <c r="A71" s="86" t="inlineStr">
        <is>
          <t>st_s2</t>
        </is>
      </c>
      <c r="B71" s="93">
        <f>IF(ISNUMBER(Calc!$B$27),ROUND(Calc!$B$27*100,0)&amp;"% of the "&amp;FIXED(Calc!$B$25,0)&amp;"-unit gap","no unit gap")</f>
        <v/>
      </c>
    </row>
    <row r="72">
      <c r="A72" s="86" t="inlineStr">
        <is>
          <t>st_s3</t>
        </is>
      </c>
      <c r="B72" s="93">
        <f>"and ~"&amp;FIXED(ROUND(Calc!$B$29,0),0)&amp;" units, on equal days"</f>
        <v/>
      </c>
    </row>
    <row r="73">
      <c r="A73" s="86" t="inlineStr">
        <is>
          <t>cut_note</t>
        </is>
      </c>
      <c r="B73" s="93">
        <f>"Both periods end on "&amp;Calc!$B$39</f>
        <v/>
      </c>
    </row>
    <row r="75">
      <c r="A75" s="86" t="inlineStr">
        <is>
          <t>Launch-timing chart data</t>
        </is>
      </c>
      <c r="B75">
        <f>"+"&amp;MAX(Calc!$B$18,0)&amp;" days"</f>
        <v/>
      </c>
      <c r="C75" t="inlineStr">
        <is>
          <t>Selling days</t>
        </is>
      </c>
    </row>
    <row r="76">
      <c r="A76">
        <f>Yr_Prev&amp;"  ·  launch "&amp;Calc!$B$38&amp;"  ·  "&amp;Calc!$B$16&amp;" selling days"</f>
        <v/>
      </c>
      <c r="B76">
        <f>MAX(Calc!$B$18,0)</f>
        <v/>
      </c>
      <c r="C76">
        <f>IF(Calc!$B$18&gt;0,Calc!$B$14,Calc!$B$16)</f>
        <v/>
      </c>
    </row>
    <row r="77">
      <c r="A77">
        <f>Yr_Cur&amp;"  ·  launch "&amp;Calc!$B$37&amp;"  ·  "&amp;Calc!$B$14&amp;" selling days"</f>
        <v/>
      </c>
      <c r="B77">
        <f>MAX(Calc!$B$18,0)</f>
        <v/>
      </c>
      <c r="C77">
        <f>Calc!$B$14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2026-10-12T09:50:43Z</dcterms:created>
  <dcterms:modified xmlns:dcterms="http://purl.org/dc/terms/" xmlns:xsi="http://www.w3.org/2001/XMLSchema-instance" xsi:type="dcterms:W3CDTF">2026-10-12T09:50:45Z</dcterms:modified>
</cp:coreProperties>
</file>